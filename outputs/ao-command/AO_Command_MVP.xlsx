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e005f74b5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8fa05c081a1142a5"/>
    <x:sheet xmlns:r="http://schemas.openxmlformats.org/officeDocument/2006/relationships" name="Events" sheetId="2" r:id="Rae0a5f5f473448fa"/>
    <x:sheet xmlns:r="http://schemas.openxmlformats.org/officeDocument/2006/relationships" name="Attendance" sheetId="3" r:id="Rd1a5ed048a2c4a99"/>
    <x:sheet xmlns:r="http://schemas.openxmlformats.org/officeDocument/2006/relationships" name="Dues" sheetId="4" r:id="R2cce4108ac7a4693"/>
    <x:sheet xmlns:r="http://schemas.openxmlformats.org/officeDocument/2006/relationships" name="Reimbursements" sheetId="5" r:id="R61190456b9d245da"/>
    <x:sheet xmlns:r="http://schemas.openxmlformats.org/officeDocument/2006/relationships" name="Dashboard" sheetId="6" r:id="Rfd053ae136cf45e9"/>
    <x:sheet xmlns:r="http://schemas.openxmlformats.org/officeDocument/2006/relationships" name="Settings" sheetId="7" r:id="R89de5c26a6f74940"/>
    <x:sheet xmlns:r="http://schemas.openxmlformats.org/officeDocument/2006/relationships" name="Weekly_Report" sheetId="8" r:id="Re5c2d9054af3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-dd h:mm AM/PM"/>
    <x:numFmt numFmtId="202" formatCode="$#,##0.00"/>
    <x:numFmt numFmtId="203" formatCode="0%"/>
    <x:numFmt numFmtId="204" formatCode="0.0%"/>
  </x:numFmts>
  <x:fonts count="9">
    <x:font>
      <x:sz val="11"/>
      <x:name val="Carlito"/>
    </x:font>
    <x:font>
      <x:sz val="10"/>
      <x:color rgb="FF0F172A"/>
      <x:name val="Arial"/>
    </x:font>
    <x:font>
      <x:b/>
      <x:sz val="10"/>
      <x:color rgb="FFFFFFFF"/>
      <x:name val="Arial"/>
    </x:font>
    <x:font>
      <x:b/>
      <x:sz val="18"/>
      <x:color rgb="FFFFFFFF"/>
      <x:name val="Arial"/>
    </x:font>
    <x:font>
      <x:sz val="10"/>
      <x:color rgb="FF64748B"/>
      <x:name val="Arial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i/>
      <x:sz val="11"/>
      <x:color rgb="FF64748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AF2FF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0" fillId="0" borderId="0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0" fillId="0" borderId="0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0" fillId="0" borderId="0" xfId="0" applyNumberFormat="1" applyFont="1" applyFill="1" applyBorder="1"/>
    <x:xf numFmtId="203" fontId="1" fillId="0" borderId="2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4" fontId="0" fillId="0" borderId="0" xfId="0" applyNumberFormat="1" applyFont="1" applyFill="1" applyBorder="1"/>
    <x:xf numFmtId="0" fontId="5" fillId="3" borderId="4" xfId="0" applyNumberFormat="1" applyFont="1" applyFill="1" applyBorder="1"/>
    <x:xf numFmtId="0" fontId="0" fillId="0" borderId="4" xfId="0" applyNumberFormat="1" applyFont="1" applyFill="1" applyBorder="1"/>
    <x:xf numFmtId="204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0" fillId="4" borderId="4" xfId="0" applyNumberFormat="1" applyFont="1" applyFill="1" applyBorder="1"/>
    <x:xf numFmtId="204" fontId="0" fillId="4" borderId="4" xfId="0" applyNumberFormat="1" applyFont="1" applyFill="1" applyBorder="1"/>
    <x:xf numFmtId="202" fontId="0" fillId="4" borderId="4" xfId="0" applyNumberFormat="1" applyFont="1" applyFill="1" applyBorder="1"/>
    <x:xf numFmtId="0" fontId="6" fillId="4" borderId="4" xfId="0" applyNumberFormat="1" applyFont="1" applyFill="1" applyBorder="1"/>
    <x:xf numFmtId="204" fontId="6" fillId="4" borderId="4" xfId="0" applyNumberFormat="1" applyFont="1" applyFill="1" applyBorder="1"/>
    <x:xf numFmtId="202" fontId="6" fillId="4" borderId="4" xfId="0" applyNumberFormat="1" applyFont="1" applyFill="1" applyBorder="1"/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8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b3463a0304915" /><Relationship Type="http://schemas.openxmlformats.org/officeDocument/2006/relationships/theme" Target="/xl/theme/theme1.xml" Id="R406e44fb86e840d8" /><Relationship Type="http://schemas.openxmlformats.org/officeDocument/2006/relationships/sharedStrings" Target="/xl/sharedStrings.xml" Id="R03fec738330b4c41" /><Relationship Type="http://schemas.openxmlformats.org/officeDocument/2006/relationships/worksheet" Target="/xl/worksheets/sheet1.xml" Id="R8fa05c081a1142a5" /><Relationship Type="http://schemas.openxmlformats.org/officeDocument/2006/relationships/worksheet" Target="/xl/worksheets/sheet2.xml" Id="Rae0a5f5f473448fa" /><Relationship Type="http://schemas.openxmlformats.org/officeDocument/2006/relationships/worksheet" Target="/xl/worksheets/sheet3.xml" Id="Rd1a5ed048a2c4a99" /><Relationship Type="http://schemas.openxmlformats.org/officeDocument/2006/relationships/worksheet" Target="/xl/worksheets/sheet4.xml" Id="R2cce4108ac7a4693" /><Relationship Type="http://schemas.openxmlformats.org/officeDocument/2006/relationships/worksheet" Target="/xl/worksheets/sheet5.xml" Id="R61190456b9d245da" /><Relationship Type="http://schemas.openxmlformats.org/officeDocument/2006/relationships/worksheet" Target="/xl/worksheets/sheet6.xml" Id="Rfd053ae136cf45e9" /><Relationship Type="http://schemas.openxmlformats.org/officeDocument/2006/relationships/worksheet" Target="/xl/worksheets/sheet7.xml" Id="R89de5c26a6f74940" /><Relationship Type="http://schemas.openxmlformats.org/officeDocument/2006/relationships/worksheet" Target="/xl/worksheets/sheet8.xml" Id="Re5c2d9054af3484e" /></Relationships>
</file>

<file path=xl/tables/table1.xml><?xml version="1.0" encoding="utf-8"?>
<x:table xmlns:x="http://schemas.openxmlformats.org/spreadsheetml/2006/main" id="1" name="MembersTable" displayName="MembersTable" ref="A1:K9" headerRowCount="1">
  <x:tableColumns count="11">
    <x:tableColumn id="1" name="member_id"/>
    <x:tableColumn id="2" name="first_name"/>
    <x:tableColumn id="3" name="last_name"/>
    <x:tableColumn id="4" name="email"/>
    <x:tableColumn id="5" name="phone"/>
    <x:tableColumn id="6" name="status"/>
    <x:tableColumn id="7" name="class_year"/>
    <x:tableColumn id="8" name="role"/>
    <x:tableColumn id="9" name="join_date"/>
    <x:tableColumn id="10" name="active_status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ventsTable" displayName="EventsTable" ref="A1:I7" headerRowCount="1">
  <x:tableColumns count="9">
    <x:tableColumn id="1" name="event_id"/>
    <x:tableColumn id="2" name="event_name"/>
    <x:tableColumn id="3" name="event_date"/>
    <x:tableColumn id="4" name="event_time"/>
    <x:tableColumn id="5" name="event_category"/>
    <x:tableColumn id="6" name="required"/>
    <x:tableColumn id="7" name="location"/>
    <x:tableColumn id="8" name="created_by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ttendanceTable" displayName="AttendanceTable" ref="A1:G22" headerRowCount="1">
  <x:tableColumns count="7">
    <x:tableColumn id="1" name="attendance_id"/>
    <x:tableColumn id="2" name="event_id"/>
    <x:tableColumn id="3" name="member_id"/>
    <x:tableColumn id="4" name="check_in_time"/>
    <x:tableColumn id="5" name="attendance_status"/>
    <x:tableColumn id="6" name="excuse_status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uesTable" displayName="DuesTable" ref="A1:J8" headerRowCount="1">
  <x:tableColumns count="10">
    <x:tableColumn id="1" name="dues_id"/>
    <x:tableColumn id="2" name="member_id"/>
    <x:tableColumn id="3" name="semester"/>
    <x:tableColumn id="4" name="amount_owed"/>
    <x:tableColumn id="5" name="amount_paid"/>
    <x:tableColumn id="6" name="balance"/>
    <x:tableColumn id="7" name="due_date"/>
    <x:tableColumn id="8" name="payment_status"/>
    <x:tableColumn id="9" name="payment_plan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imbursementsTable" displayName="ReimbursementsTable" ref="A1:K4" headerRowCount="1">
  <x:tableColumns count="11">
    <x:tableColumn id="1" name="reimbursement_id"/>
    <x:tableColumn id="2" name="member_id"/>
    <x:tableColumn id="3" name="request_date"/>
    <x:tableColumn id="4" name="amount"/>
    <x:tableColumn id="5" name="budget_category"/>
    <x:tableColumn id="6" name="event_id"/>
    <x:tableColumn id="7" name="receipt_link"/>
    <x:tableColumn id="8" name="description"/>
    <x:tableColumn id="9" name="approval_status"/>
    <x:tableColumn id="10" name="paid_status"/>
    <x:tableColumn id="11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ettingsTable" displayName="SettingsTable" ref="A1:B6" headerRowCount="1">
  <x:tableColumns count="2">
    <x:tableColumn id="1" name="setting_name"/>
    <x:tableColumn id="2" name="setting_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d390fb39f34a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208bc7fd7145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4a63a4fbd546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692fa95fe849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bc4d774c74542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39f0f4f2c044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6" hidden="0" customWidth="1"/>
    <x:col min="5" max="5" width="15" hidden="0" customWidth="1"/>
    <x:col min="6" max="6" width="22" hidden="0" customWidth="1"/>
    <x:col min="7" max="7" width="12" hidden="0" customWidth="1"/>
    <x:col min="8" max="8" width="23" hidden="0" customWidth="1"/>
    <x:col min="9" max="9" width="14" hidden="0" customWidth="1"/>
    <x:col min="10" max="10" width="14" hidden="0" customWidth="1"/>
    <x:col min="11" max="11" width="28" hidden="0" customWidth="1"/>
  </x:cols>
  <x:sheetData>
    <x:row r="1" ht="28" customHeight="1">
      <x:c r="A1" s="5" t="str">
        <x:v>member_id</x:v>
      </x:c>
      <x:c r="B1" s="5" t="str">
        <x:v>first_name</x:v>
      </x:c>
      <x:c r="C1" s="5" t="str">
        <x:v>last_name</x:v>
      </x:c>
      <x:c r="D1" s="5" t="str">
        <x:v>email</x:v>
      </x:c>
      <x:c r="E1" s="5" t="str">
        <x:v>phone</x:v>
      </x:c>
      <x:c r="F1" s="5" t="str">
        <x:v>status</x:v>
      </x:c>
      <x:c r="G1" s="5" t="str">
        <x:v>class_year</x:v>
      </x:c>
      <x:c r="H1" s="5" t="str">
        <x:v>role</x:v>
      </x:c>
      <x:c r="I1" s="5" t="str">
        <x:v>join_date</x:v>
      </x:c>
      <x:c r="J1" s="5" t="str">
        <x:v>active_status</x:v>
      </x:c>
      <x:c r="K1" s="5" t="str">
        <x:v>notes</x:v>
      </x:c>
    </x:row>
    <x:row r="2">
      <x:c r="A2" s="6" t="str">
        <x:v>M001</x:v>
      </x:c>
      <x:c r="B2" s="6" t="str">
        <x:v>Avery</x:v>
      </x:c>
      <x:c r="C2" s="6" t="str">
        <x:v>Johnson</x:v>
      </x:c>
      <x:c r="D2" s="6" t="str">
        <x:v>avery@example.org</x:v>
      </x:c>
      <x:c r="E2" s="6" t="str">
        <x:v>555-0101</x:v>
      </x:c>
      <x:c r="F2" s="6" t="str">
        <x:v>Member</x:v>
      </x:c>
      <x:c r="G2" s="6" t="n">
        <x:v>2027</x:v>
      </x:c>
      <x:c r="H2" s="6" t="str">
        <x:v>President</x:v>
      </x:c>
      <x:c r="I2" s="8" t="n">
        <x:v>45524</x:v>
      </x:c>
      <x:c r="J2" s="6" t="str">
        <x:v>Active</x:v>
      </x:c>
      <x:c r="K2" s="6" t="str"/>
    </x:row>
    <x:row r="3">
      <x:c r="A3" s="6" t="str">
        <x:v>M002</x:v>
      </x:c>
      <x:c r="B3" s="6" t="str">
        <x:v>Jordan</x:v>
      </x:c>
      <x:c r="C3" s="6" t="str">
        <x:v>Lee</x:v>
      </x:c>
      <x:c r="D3" s="6" t="str">
        <x:v>jordan@example.org</x:v>
      </x:c>
      <x:c r="E3" s="6" t="str">
        <x:v>555-0102</x:v>
      </x:c>
      <x:c r="F3" s="6" t="str">
        <x:v>Member</x:v>
      </x:c>
      <x:c r="G3" s="6" t="n">
        <x:v>2026</x:v>
      </x:c>
      <x:c r="H3" s="6" t="str">
        <x:v>Treasurer</x:v>
      </x:c>
      <x:c r="I3" s="8" t="n">
        <x:v>45160</x:v>
      </x:c>
      <x:c r="J3" s="6" t="str">
        <x:v>Active</x:v>
      </x:c>
      <x:c r="K3" s="6" t="str"/>
    </x:row>
    <x:row r="4">
      <x:c r="A4" s="6" t="str">
        <x:v>M003</x:v>
      </x:c>
      <x:c r="B4" s="6" t="str">
        <x:v>Cameron</x:v>
      </x:c>
      <x:c r="C4" s="6" t="str">
        <x:v>Patel</x:v>
      </x:c>
      <x:c r="D4" s="6" t="str">
        <x:v>cameron@example.org</x:v>
      </x:c>
      <x:c r="E4" s="6" t="str">
        <x:v>555-0103</x:v>
      </x:c>
      <x:c r="F4" s="6" t="str">
        <x:v>Member</x:v>
      </x:c>
      <x:c r="G4" s="6" t="n">
        <x:v>2028</x:v>
      </x:c>
      <x:c r="H4" s="6" t="str">
        <x:v>Secretary</x:v>
      </x:c>
      <x:c r="I4" s="8" t="n">
        <x:v>45672</x:v>
      </x:c>
      <x:c r="J4" s="6" t="str">
        <x:v>Active</x:v>
      </x:c>
      <x:c r="K4" s="6" t="str"/>
    </x:row>
    <x:row r="5">
      <x:c r="A5" s="6" t="str">
        <x:v>M004</x:v>
      </x:c>
      <x:c r="B5" s="6" t="str">
        <x:v>Taylor</x:v>
      </x:c>
      <x:c r="C5" s="6" t="str">
        <x:v>Morgan</x:v>
      </x:c>
      <x:c r="D5" s="6" t="str">
        <x:v>taylor@example.org</x:v>
      </x:c>
      <x:c r="E5" s="6" t="str">
        <x:v>555-0104</x:v>
      </x:c>
      <x:c r="F5" s="6" t="str">
        <x:v>Associate/New Member</x:v>
      </x:c>
      <x:c r="G5" s="6" t="n">
        <x:v>2029</x:v>
      </x:c>
      <x:c r="H5" s="6" t="str">
        <x:v>Member</x:v>
      </x:c>
      <x:c r="I5" s="8" t="n">
        <x:v>46042</x:v>
      </x:c>
      <x:c r="J5" s="6" t="str">
        <x:v>Active</x:v>
      </x:c>
      <x:c r="K5" s="6" t="str"/>
    </x:row>
    <x:row r="6">
      <x:c r="A6" s="6" t="str">
        <x:v>M005</x:v>
      </x:c>
      <x:c r="B6" s="6" t="str">
        <x:v>Riley</x:v>
      </x:c>
      <x:c r="C6" s="6" t="str">
        <x:v>Nguyen</x:v>
      </x:c>
      <x:c r="D6" s="6" t="str">
        <x:v>riley@example.org</x:v>
      </x:c>
      <x:c r="E6" s="6" t="str">
        <x:v>555-0105</x:v>
      </x:c>
      <x:c r="F6" s="6" t="str">
        <x:v>Member</x:v>
      </x:c>
      <x:c r="G6" s="6" t="n">
        <x:v>2027</x:v>
      </x:c>
      <x:c r="H6" s="6" t="str">
        <x:v>Member</x:v>
      </x:c>
      <x:c r="I6" s="8" t="n">
        <x:v>45524</x:v>
      </x:c>
      <x:c r="J6" s="6" t="str">
        <x:v>Active</x:v>
      </x:c>
      <x:c r="K6" s="6" t="str"/>
    </x:row>
    <x:row r="7">
      <x:c r="A7" s="6" t="str">
        <x:v>M006</x:v>
      </x:c>
      <x:c r="B7" s="6" t="str">
        <x:v>Casey</x:v>
      </x:c>
      <x:c r="C7" s="6" t="str">
        <x:v>Brown</x:v>
      </x:c>
      <x:c r="D7" s="6" t="str">
        <x:v>casey@example.org</x:v>
      </x:c>
      <x:c r="E7" s="6" t="str">
        <x:v>555-0106</x:v>
      </x:c>
      <x:c r="F7" s="6" t="str">
        <x:v>Associate/New Member</x:v>
      </x:c>
      <x:c r="G7" s="6" t="n">
        <x:v>2029</x:v>
      </x:c>
      <x:c r="H7" s="6" t="str">
        <x:v>Member</x:v>
      </x:c>
      <x:c r="I7" s="8" t="n">
        <x:v>46042</x:v>
      </x:c>
      <x:c r="J7" s="6" t="str">
        <x:v>Active</x:v>
      </x:c>
      <x:c r="K7" s="6" t="str"/>
    </x:row>
    <x:row r="8">
      <x:c r="A8" s="6" t="str">
        <x:v>M007</x:v>
      </x:c>
      <x:c r="B8" s="6" t="str">
        <x:v>Morgan</x:v>
      </x:c>
      <x:c r="C8" s="6" t="str">
        <x:v>Garcia</x:v>
      </x:c>
      <x:c r="D8" s="6" t="str">
        <x:v>morgan@example.org</x:v>
      </x:c>
      <x:c r="E8" s="6" t="str">
        <x:v>555-0107</x:v>
      </x:c>
      <x:c r="F8" s="6" t="str">
        <x:v>Member</x:v>
      </x:c>
      <x:c r="G8" s="6" t="n">
        <x:v>2026</x:v>
      </x:c>
      <x:c r="H8" s="6" t="str">
        <x:v>Member</x:v>
      </x:c>
      <x:c r="I8" s="8" t="n">
        <x:v>45160</x:v>
      </x:c>
      <x:c r="J8" s="6" t="str">
        <x:v>Inactive</x:v>
      </x:c>
      <x:c r="K8" s="6" t="str">
        <x:v>Study abroad</x:v>
      </x:c>
    </x:row>
    <x:row r="9">
      <x:c r="A9" s="7" t="str">
        <x:v>M008</x:v>
      </x:c>
      <x:c r="B9" s="7" t="str">
        <x:v>Sam</x:v>
      </x:c>
      <x:c r="C9" s="7" t="str">
        <x:v>Wilson</x:v>
      </x:c>
      <x:c r="D9" s="7" t="str">
        <x:v>sam@example.org</x:v>
      </x:c>
      <x:c r="E9" s="7" t="str">
        <x:v>555-0108</x:v>
      </x:c>
      <x:c r="F9" s="7" t="str">
        <x:v>Member</x:v>
      </x:c>
      <x:c r="G9" s="7" t="n">
        <x:v>2028</x:v>
      </x:c>
      <x:c r="H9" s="7" t="str">
        <x:v>Community Service Chair</x:v>
      </x:c>
      <x:c r="I9" s="9" t="n">
        <x:v>45672</x:v>
      </x:c>
      <x:c r="J9" s="7" t="str">
        <x:v>Active</x:v>
      </x:c>
      <x:c r="K9" s="7" t="str"/>
    </x:row>
    <x:row r="10">
      <x:c r="I10" s="10"/>
    </x:row>
    <x:row r="11">
      <x:c r="I11" s="10"/>
    </x:row>
    <x:row r="12">
      <x:c r="I12" s="10"/>
    </x:row>
    <x:row r="13">
      <x:c r="I13" s="10"/>
    </x:row>
    <x:row r="14">
      <x:c r="I14" s="10"/>
    </x:row>
    <x:row r="15">
      <x:c r="I15" s="10"/>
    </x:row>
    <x:row r="16">
      <x:c r="I16" s="10"/>
    </x:row>
    <x:row r="17">
      <x:c r="I17" s="10"/>
    </x:row>
    <x:row r="18">
      <x:c r="I18" s="10"/>
    </x:row>
    <x:row r="19">
      <x:c r="I19" s="10"/>
    </x:row>
    <x:row r="20">
      <x:c r="I20" s="10"/>
    </x:row>
    <x:row r="21">
      <x:c r="I21" s="10"/>
    </x:row>
    <x:row r="22">
      <x:c r="I22" s="10"/>
    </x:row>
    <x:row r="23">
      <x:c r="I23" s="10"/>
    </x:row>
    <x:row r="24">
      <x:c r="I24" s="10"/>
    </x:row>
    <x:row r="25">
      <x:c r="I25" s="10"/>
    </x:row>
    <x:row r="26">
      <x:c r="I26" s="10"/>
    </x:row>
    <x:row r="27">
      <x:c r="I27" s="10"/>
    </x:row>
    <x:row r="28">
      <x:c r="I28" s="10"/>
    </x:row>
    <x:row r="29">
      <x:c r="I29" s="10"/>
    </x:row>
    <x:row r="30">
      <x:c r="I30" s="10"/>
    </x:row>
    <x:row r="31">
      <x:c r="I31" s="10"/>
    </x:row>
    <x:row r="32">
      <x:c r="I32" s="10"/>
    </x:row>
    <x:row r="33">
      <x:c r="I33" s="10"/>
    </x:row>
    <x:row r="34">
      <x:c r="I34" s="10"/>
    </x:row>
    <x:row r="35">
      <x:c r="I35" s="10"/>
    </x:row>
    <x:row r="36">
      <x:c r="I36" s="10"/>
    </x:row>
    <x:row r="37">
      <x:c r="I37" s="10"/>
    </x:row>
    <x:row r="38">
      <x:c r="I38" s="10"/>
    </x:row>
    <x:row r="39">
      <x:c r="I39" s="10"/>
    </x:row>
    <x:row r="40">
      <x:c r="I40" s="10"/>
    </x:row>
    <x:row r="41">
      <x:c r="I41" s="10"/>
    </x:row>
    <x:row r="42">
      <x:c r="I42" s="10"/>
    </x:row>
    <x:row r="43">
      <x:c r="I43" s="10"/>
    </x:row>
    <x:row r="44">
      <x:c r="I44" s="10"/>
    </x:row>
    <x:row r="45">
      <x:c r="I45" s="10"/>
    </x:row>
    <x:row r="46">
      <x:c r="I46" s="10"/>
    </x:row>
    <x:row r="47">
      <x:c r="I47" s="10"/>
    </x:row>
    <x:row r="48">
      <x:c r="I48" s="10"/>
    </x:row>
    <x:row r="49">
      <x:c r="I49" s="10"/>
    </x:row>
    <x:row r="50">
      <x:c r="I50" s="10"/>
    </x:row>
    <x:row r="51">
      <x:c r="I51" s="10"/>
    </x:row>
    <x:row r="52">
      <x:c r="I52" s="10"/>
    </x:row>
    <x:row r="53">
      <x:c r="I53" s="10"/>
    </x:row>
    <x:row r="54">
      <x:c r="I54" s="10"/>
    </x:row>
    <x:row r="55">
      <x:c r="I55" s="10"/>
    </x:row>
    <x:row r="56">
      <x:c r="I56" s="10"/>
    </x:row>
    <x:row r="57">
      <x:c r="I57" s="10"/>
    </x:row>
    <x:row r="58">
      <x:c r="I58" s="10"/>
    </x:row>
    <x:row r="59">
      <x:c r="I59" s="10"/>
    </x:row>
    <x:row r="60">
      <x:c r="I60" s="10"/>
    </x:row>
    <x:row r="61">
      <x:c r="I61" s="10"/>
    </x:row>
    <x:row r="62">
      <x:c r="I62" s="10"/>
    </x:row>
    <x:row r="63">
      <x:c r="I63" s="10"/>
    </x:row>
    <x:row r="64">
      <x:c r="I64" s="10"/>
    </x:row>
    <x:row r="65">
      <x:c r="I65" s="10"/>
    </x:row>
    <x:row r="66">
      <x:c r="I66" s="10"/>
    </x:row>
    <x:row r="67">
      <x:c r="I67" s="10"/>
    </x:row>
    <x:row r="68">
      <x:c r="I68" s="10"/>
    </x:row>
    <x:row r="69">
      <x:c r="I69" s="10"/>
    </x:row>
    <x:row r="70">
      <x:c r="I70" s="10"/>
    </x:row>
    <x:row r="71">
      <x:c r="I71" s="10"/>
    </x:row>
    <x:row r="72">
      <x:c r="I72" s="10"/>
    </x:row>
    <x:row r="73">
      <x:c r="I73" s="10"/>
    </x:row>
    <x:row r="74">
      <x:c r="I74" s="10"/>
    </x:row>
    <x:row r="75">
      <x:c r="I75" s="10"/>
    </x:row>
    <x:row r="76">
      <x:c r="I76" s="10"/>
    </x:row>
    <x:row r="77">
      <x:c r="I77" s="10"/>
    </x:row>
    <x:row r="78">
      <x:c r="I78" s="10"/>
    </x:row>
    <x:row r="79">
      <x:c r="I79" s="10"/>
    </x:row>
    <x:row r="80">
      <x:c r="I80" s="10"/>
    </x:row>
    <x:row r="81">
      <x:c r="I81" s="10"/>
    </x:row>
    <x:row r="82">
      <x:c r="I82" s="10"/>
    </x:row>
    <x:row r="83">
      <x:c r="I83" s="10"/>
    </x:row>
    <x:row r="84">
      <x:c r="I84" s="10"/>
    </x:row>
    <x:row r="85">
      <x:c r="I85" s="10"/>
    </x:row>
    <x:row r="86">
      <x:c r="I86" s="10"/>
    </x:row>
    <x:row r="87">
      <x:c r="I87" s="10"/>
    </x:row>
    <x:row r="88">
      <x:c r="I88" s="10"/>
    </x:row>
    <x:row r="89">
      <x:c r="I89" s="10"/>
    </x:row>
    <x:row r="90">
      <x:c r="I90" s="10"/>
    </x:row>
    <x:row r="91">
      <x:c r="I91" s="10"/>
    </x:row>
    <x:row r="92">
      <x:c r="I92" s="10"/>
    </x:row>
    <x:row r="93">
      <x:c r="I93" s="10"/>
    </x:row>
    <x:row r="94">
      <x:c r="I94" s="10"/>
    </x:row>
    <x:row r="95">
      <x:c r="I95" s="10"/>
    </x:row>
    <x:row r="96">
      <x:c r="I96" s="10"/>
    </x:row>
    <x:row r="97">
      <x:c r="I97" s="10"/>
    </x:row>
    <x:row r="98">
      <x:c r="I98" s="10"/>
    </x:row>
    <x:row r="99">
      <x:c r="I99" s="10"/>
    </x:row>
    <x:row r="100">
      <x:c r="I100" s="10"/>
    </x:row>
    <x:row r="101">
      <x:c r="I101" s="10"/>
    </x:row>
    <x:row r="102">
      <x:c r="I102" s="10"/>
    </x:row>
    <x:row r="103">
      <x:c r="I103" s="10"/>
    </x:row>
    <x:row r="104">
      <x:c r="I104" s="10"/>
    </x:row>
    <x:row r="105">
      <x:c r="I105" s="10"/>
    </x:row>
    <x:row r="106">
      <x:c r="I106" s="10"/>
    </x:row>
    <x:row r="107">
      <x:c r="I107" s="10"/>
    </x:row>
    <x:row r="108">
      <x:c r="I108" s="10"/>
    </x:row>
    <x:row r="109">
      <x:c r="I109" s="10"/>
    </x:row>
    <x:row r="110">
      <x:c r="I110" s="10"/>
    </x:row>
    <x:row r="111">
      <x:c r="I111" s="10"/>
    </x:row>
    <x:row r="112">
      <x:c r="I112" s="10"/>
    </x:row>
    <x:row r="113">
      <x:c r="I113" s="10"/>
    </x:row>
    <x:row r="114">
      <x:c r="I114" s="10"/>
    </x:row>
    <x:row r="115">
      <x:c r="I115" s="10"/>
    </x:row>
    <x:row r="116">
      <x:c r="I116" s="10"/>
    </x:row>
    <x:row r="117">
      <x:c r="I117" s="10"/>
    </x:row>
    <x:row r="118">
      <x:c r="I118" s="10"/>
    </x:row>
    <x:row r="119">
      <x:c r="I119" s="10"/>
    </x:row>
    <x:row r="120">
      <x:c r="I120" s="10"/>
    </x:row>
    <x:row r="121">
      <x:c r="I121" s="10"/>
    </x:row>
    <x:row r="122">
      <x:c r="I122" s="10"/>
    </x:row>
    <x:row r="123">
      <x:c r="I123" s="10"/>
    </x:row>
    <x:row r="124">
      <x:c r="I124" s="10"/>
    </x:row>
    <x:row r="125">
      <x:c r="I125" s="10"/>
    </x:row>
    <x:row r="126">
      <x:c r="I126" s="10"/>
    </x:row>
    <x:row r="127">
      <x:c r="I127" s="10"/>
    </x:row>
    <x:row r="128">
      <x:c r="I128" s="10"/>
    </x:row>
    <x:row r="129">
      <x:c r="I129" s="10"/>
    </x:row>
    <x:row r="130">
      <x:c r="I130" s="10"/>
    </x:row>
    <x:row r="131">
      <x:c r="I131" s="10"/>
    </x:row>
    <x:row r="132">
      <x:c r="I132" s="10"/>
    </x:row>
    <x:row r="133">
      <x:c r="I133" s="10"/>
    </x:row>
    <x:row r="134">
      <x:c r="I134" s="10"/>
    </x:row>
    <x:row r="135">
      <x:c r="I135" s="10"/>
    </x:row>
    <x:row r="136">
      <x:c r="I136" s="10"/>
    </x:row>
    <x:row r="137">
      <x:c r="I137" s="10"/>
    </x:row>
    <x:row r="138">
      <x:c r="I138" s="10"/>
    </x:row>
    <x:row r="139">
      <x:c r="I139" s="10"/>
    </x:row>
    <x:row r="140">
      <x:c r="I140" s="10"/>
    </x:row>
    <x:row r="141">
      <x:c r="I141" s="10"/>
    </x:row>
    <x:row r="142">
      <x:c r="I142" s="10"/>
    </x:row>
    <x:row r="143">
      <x:c r="I143" s="10"/>
    </x:row>
    <x:row r="144">
      <x:c r="I144" s="10"/>
    </x:row>
    <x:row r="145">
      <x:c r="I145" s="10"/>
    </x:row>
    <x:row r="146">
      <x:c r="I146" s="10"/>
    </x:row>
    <x:row r="147">
      <x:c r="I147" s="10"/>
    </x:row>
    <x:row r="148">
      <x:c r="I148" s="10"/>
    </x:row>
    <x:row r="149">
      <x:c r="I149" s="10"/>
    </x:row>
    <x:row r="150">
      <x:c r="I150" s="10"/>
    </x:row>
    <x:row r="151">
      <x:c r="I151" s="10"/>
    </x:row>
    <x:row r="152">
      <x:c r="I152" s="10"/>
    </x:row>
    <x:row r="153">
      <x:c r="I153" s="10"/>
    </x:row>
    <x:row r="154">
      <x:c r="I154" s="10"/>
    </x:row>
    <x:row r="155">
      <x:c r="I155" s="10"/>
    </x:row>
    <x:row r="156">
      <x:c r="I156" s="10"/>
    </x:row>
    <x:row r="157">
      <x:c r="I157" s="10"/>
    </x:row>
    <x:row r="158">
      <x:c r="I158" s="10"/>
    </x:row>
    <x:row r="159">
      <x:c r="I159" s="10"/>
    </x:row>
    <x:row r="160">
      <x:c r="I160" s="10"/>
    </x:row>
    <x:row r="161">
      <x:c r="I161" s="10"/>
    </x:row>
    <x:row r="162">
      <x:c r="I162" s="10"/>
    </x:row>
    <x:row r="163">
      <x:c r="I163" s="10"/>
    </x:row>
    <x:row r="164">
      <x:c r="I164" s="10"/>
    </x:row>
    <x:row r="165">
      <x:c r="I165" s="10"/>
    </x:row>
    <x:row r="166">
      <x:c r="I166" s="10"/>
    </x:row>
    <x:row r="167">
      <x:c r="I167" s="10"/>
    </x:row>
    <x:row r="168">
      <x:c r="I168" s="10"/>
    </x:row>
    <x:row r="169">
      <x:c r="I169" s="10"/>
    </x:row>
    <x:row r="170">
      <x:c r="I170" s="10"/>
    </x:row>
    <x:row r="171">
      <x:c r="I171" s="10"/>
    </x:row>
    <x:row r="172">
      <x:c r="I172" s="10"/>
    </x:row>
    <x:row r="173">
      <x:c r="I173" s="10"/>
    </x:row>
    <x:row r="174">
      <x:c r="I174" s="10"/>
    </x:row>
    <x:row r="175">
      <x:c r="I175" s="10"/>
    </x:row>
    <x:row r="176">
      <x:c r="I176" s="10"/>
    </x:row>
    <x:row r="177">
      <x:c r="I177" s="10"/>
    </x:row>
    <x:row r="178">
      <x:c r="I178" s="10"/>
    </x:row>
    <x:row r="179">
      <x:c r="I179" s="10"/>
    </x:row>
    <x:row r="180">
      <x:c r="I180" s="10"/>
    </x:row>
    <x:row r="181">
      <x:c r="I181" s="10"/>
    </x:row>
    <x:row r="182">
      <x:c r="I182" s="10"/>
    </x:row>
    <x:row r="183">
      <x:c r="I183" s="10"/>
    </x:row>
    <x:row r="184">
      <x:c r="I184" s="10"/>
    </x:row>
    <x:row r="185">
      <x:c r="I185" s="10"/>
    </x:row>
    <x:row r="186">
      <x:c r="I186" s="10"/>
    </x:row>
    <x:row r="187">
      <x:c r="I187" s="10"/>
    </x:row>
    <x:row r="188">
      <x:c r="I188" s="10"/>
    </x:row>
    <x:row r="189">
      <x:c r="I189" s="10"/>
    </x:row>
    <x:row r="190">
      <x:c r="I190" s="10"/>
    </x:row>
    <x:row r="191">
      <x:c r="I191" s="10"/>
    </x:row>
    <x:row r="192">
      <x:c r="I192" s="10"/>
    </x:row>
    <x:row r="193">
      <x:c r="I193" s="10"/>
    </x:row>
    <x:row r="194">
      <x:c r="I194" s="10"/>
    </x:row>
    <x:row r="195">
      <x:c r="I195" s="10"/>
    </x:row>
    <x:row r="196">
      <x:c r="I196" s="10"/>
    </x:row>
    <x:row r="197">
      <x:c r="I197" s="10"/>
    </x:row>
    <x:row r="198">
      <x:c r="I198" s="10"/>
    </x:row>
    <x:row r="199">
      <x:c r="I199" s="10"/>
    </x:row>
    <x:row r="200">
      <x:c r="I200" s="10"/>
    </x:row>
  </x:sheetData>
  <x:dataValidations count="2">
    <x:dataValidation type="list" sqref="F2:F200">
      <x:formula1>"Member,Associate/New Member,Advisor,Alumni"</x:formula1>
    </x:dataValidation>
    <x:dataValidation type="list" sqref="J2:J2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d390fb39f34a6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4" hidden="0" customWidth="1"/>
    <x:col min="4" max="4" width="13" hidden="0" customWidth="1"/>
    <x:col min="5" max="5" width="18" hidden="0" customWidth="1"/>
    <x:col min="6" max="6" width="11" hidden="0" customWidth="1"/>
    <x:col min="7" max="7" width="24" hidden="0" customWidth="1"/>
    <x:col min="8" max="8" width="15" hidden="0" customWidth="1"/>
    <x:col min="9" max="9" width="30" hidden="0" customWidth="1"/>
  </x:cols>
  <x:sheetData>
    <x:row r="1" ht="28" customHeight="1">
      <x:c r="A1" s="5" t="str">
        <x:v>event_id</x:v>
      </x:c>
      <x:c r="B1" s="5" t="str">
        <x:v>event_name</x:v>
      </x:c>
      <x:c r="C1" s="5" t="str">
        <x:v>event_date</x:v>
      </x:c>
      <x:c r="D1" s="5" t="str">
        <x:v>event_time</x:v>
      </x:c>
      <x:c r="E1" s="5" t="str">
        <x:v>event_category</x:v>
      </x:c>
      <x:c r="F1" s="5" t="str">
        <x:v>required</x:v>
      </x:c>
      <x:c r="G1" s="5" t="str">
        <x:v>location</x:v>
      </x:c>
      <x:c r="H1" s="5" t="str">
        <x:v>created_by</x:v>
      </x:c>
      <x:c r="I1" s="5" t="str">
        <x:v>notes</x:v>
      </x:c>
    </x:row>
    <x:row r="2">
      <x:c r="A2" s="6" t="str">
        <x:v>E001</x:v>
      </x:c>
      <x:c r="B2" s="6" t="str">
        <x:v>Chapter Operations Meeting</x:v>
      </x:c>
      <x:c r="C2" s="8" t="n">
        <x:v>46183</x:v>
      </x:c>
      <x:c r="D2" s="6" t="str">
        <x:v>7:00 PM</x:v>
      </x:c>
      <x:c r="E2" s="6" t="str">
        <x:v>Operations</x:v>
      </x:c>
      <x:c r="F2" s="6" t="str">
        <x:v>Yes</x:v>
      </x:c>
      <x:c r="G2" s="6" t="str">
        <x:v>Student Center 201</x:v>
      </x:c>
      <x:c r="H2" s="6" t="str">
        <x:v>M003</x:v>
      </x:c>
      <x:c r="I2" s="6" t="str"/>
    </x:row>
    <x:row r="3">
      <x:c r="A3" s="6" t="str">
        <x:v>E002</x:v>
      </x:c>
      <x:c r="B3" s="6" t="str">
        <x:v>Community Service Project</x:v>
      </x:c>
      <x:c r="C3" s="8" t="n">
        <x:v>46190</x:v>
      </x:c>
      <x:c r="D3" s="6" t="str">
        <x:v>9:00 AM</x:v>
      </x:c>
      <x:c r="E3" s="6" t="str">
        <x:v>Service</x:v>
      </x:c>
      <x:c r="F3" s="6" t="str">
        <x:v>Yes</x:v>
      </x:c>
      <x:c r="G3" s="6" t="str">
        <x:v>Riverside Park</x:v>
      </x:c>
      <x:c r="H3" s="6" t="str">
        <x:v>M008</x:v>
      </x:c>
      <x:c r="I3" s="6" t="str">
        <x:v>Wear closed-toe shoes</x:v>
      </x:c>
    </x:row>
    <x:row r="4">
      <x:c r="A4" s="6" t="str">
        <x:v>E003</x:v>
      </x:c>
      <x:c r="B4" s="6" t="str">
        <x:v>Financial Planning Workshop</x:v>
      </x:c>
      <x:c r="C4" s="8" t="n">
        <x:v>46197</x:v>
      </x:c>
      <x:c r="D4" s="6" t="str">
        <x:v>6:30 PM</x:v>
      </x:c>
      <x:c r="E4" s="6" t="str">
        <x:v>Education</x:v>
      </x:c>
      <x:c r="F4" s="6" t="str">
        <x:v>Yes</x:v>
      </x:c>
      <x:c r="G4" s="6" t="str">
        <x:v>Library 104</x:v>
      </x:c>
      <x:c r="H4" s="6" t="str">
        <x:v>M002</x:v>
      </x:c>
      <x:c r="I4" s="6" t="str"/>
    </x:row>
    <x:row r="5">
      <x:c r="A5" s="6" t="str">
        <x:v>E004</x:v>
      </x:c>
      <x:c r="B5" s="6" t="str">
        <x:v>Member Social</x:v>
      </x:c>
      <x:c r="C5" s="8" t="n">
        <x:v>46200</x:v>
      </x:c>
      <x:c r="D5" s="6" t="str">
        <x:v>7:30 PM</x:v>
      </x:c>
      <x:c r="E5" s="6" t="str">
        <x:v>Social</x:v>
      </x:c>
      <x:c r="F5" s="6" t="str">
        <x:v>No</x:v>
      </x:c>
      <x:c r="G5" s="6" t="str">
        <x:v>Campus Green</x:v>
      </x:c>
      <x:c r="H5" s="6" t="str">
        <x:v>M005</x:v>
      </x:c>
      <x:c r="I5" s="6" t="str"/>
    </x:row>
    <x:row r="6">
      <x:c r="A6" s="6" t="str">
        <x:v>E005</x:v>
      </x:c>
      <x:c r="B6" s="6" t="str">
        <x:v>Executive Planning Session</x:v>
      </x:c>
      <x:c r="C6" s="8" t="n">
        <x:v>46205</x:v>
      </x:c>
      <x:c r="D6" s="6" t="str">
        <x:v>5:00 PM</x:v>
      </x:c>
      <x:c r="E6" s="6" t="str">
        <x:v>Operations</x:v>
      </x:c>
      <x:c r="F6" s="6" t="str">
        <x:v>No</x:v>
      </x:c>
      <x:c r="G6" s="6" t="str">
        <x:v>Student Center 110</x:v>
      </x:c>
      <x:c r="H6" s="6" t="str">
        <x:v>M001</x:v>
      </x:c>
      <x:c r="I6" s="6" t="str"/>
    </x:row>
    <x:row r="7">
      <x:c r="A7" s="7" t="str">
        <x:v>E006</x:v>
      </x:c>
      <x:c r="B7" s="7" t="str">
        <x:v>Chapter Operations Meeting</x:v>
      </x:c>
      <x:c r="C7" s="9" t="n">
        <x:v>46208</x:v>
      </x:c>
      <x:c r="D7" s="7" t="str">
        <x:v>7:00 PM</x:v>
      </x:c>
      <x:c r="E7" s="7" t="str">
        <x:v>Operations</x:v>
      </x:c>
      <x:c r="F7" s="7" t="str">
        <x:v>Yes</x:v>
      </x:c>
      <x:c r="G7" s="7" t="str">
        <x:v>Student Center 201</x:v>
      </x:c>
      <x:c r="H7" s="7" t="str">
        <x:v>M003</x:v>
      </x:c>
      <x:c r="I7" s="7" t="str"/>
    </x:row>
    <x:row r="8">
      <x:c r="C8" s="10"/>
    </x:row>
    <x:row r="9">
      <x:c r="C9" s="10"/>
    </x:row>
    <x:row r="10">
      <x:c r="C10" s="10"/>
    </x:row>
    <x:row r="11">
      <x:c r="C11" s="10"/>
    </x:row>
    <x:row r="12">
      <x:c r="C12" s="10"/>
    </x:row>
    <x:row r="13">
      <x:c r="C13" s="10"/>
    </x:row>
    <x:row r="14">
      <x:c r="C14" s="10"/>
    </x:row>
    <x:row r="15">
      <x:c r="C15" s="10"/>
    </x:row>
    <x:row r="16">
      <x:c r="C16" s="10"/>
    </x:row>
    <x:row r="17">
      <x:c r="C17" s="10"/>
    </x:row>
    <x:row r="18">
      <x:c r="C18" s="10"/>
    </x:row>
    <x:row r="19">
      <x:c r="C19" s="10"/>
    </x:row>
    <x:row r="20">
      <x:c r="C20" s="10"/>
    </x:row>
    <x:row r="21">
      <x:c r="C21" s="10"/>
    </x:row>
    <x:row r="22">
      <x:c r="C22" s="10"/>
    </x:row>
    <x:row r="23">
      <x:c r="C23" s="10"/>
    </x:row>
    <x:row r="24">
      <x:c r="C24" s="10"/>
    </x:row>
    <x:row r="25">
      <x:c r="C25" s="10"/>
    </x:row>
    <x:row r="26">
      <x:c r="C26" s="10"/>
    </x:row>
    <x:row r="27">
      <x:c r="C27" s="10"/>
    </x:row>
    <x:row r="28">
      <x:c r="C28" s="10"/>
    </x:row>
    <x:row r="29">
      <x:c r="C29" s="10"/>
    </x:row>
    <x:row r="30">
      <x:c r="C30" s="10"/>
    </x:row>
    <x:row r="31">
      <x:c r="C31" s="10"/>
    </x:row>
    <x:row r="32">
      <x:c r="C32" s="10"/>
    </x:row>
    <x:row r="33">
      <x:c r="C33" s="10"/>
    </x:row>
    <x:row r="34">
      <x:c r="C34" s="10"/>
    </x:row>
    <x:row r="35">
      <x:c r="C35" s="10"/>
    </x:row>
    <x:row r="36">
      <x:c r="C36" s="10"/>
    </x:row>
    <x:row r="37">
      <x:c r="C37" s="10"/>
    </x:row>
    <x:row r="38">
      <x:c r="C38" s="10"/>
    </x:row>
    <x:row r="39">
      <x:c r="C39" s="10"/>
    </x:row>
    <x:row r="40">
      <x:c r="C40" s="10"/>
    </x:row>
    <x:row r="41">
      <x:c r="C41" s="10"/>
    </x:row>
    <x:row r="42">
      <x:c r="C42" s="10"/>
    </x:row>
    <x:row r="43">
      <x:c r="C43" s="10"/>
    </x:row>
    <x:row r="44">
      <x:c r="C44" s="10"/>
    </x:row>
    <x:row r="45">
      <x:c r="C45" s="10"/>
    </x:row>
    <x:row r="46">
      <x:c r="C46" s="10"/>
    </x:row>
    <x:row r="47">
      <x:c r="C47" s="10"/>
    </x:row>
    <x:row r="48">
      <x:c r="C48" s="10"/>
    </x:row>
    <x:row r="49">
      <x:c r="C49" s="10"/>
    </x:row>
    <x:row r="50">
      <x:c r="C50" s="10"/>
    </x:row>
    <x:row r="51">
      <x:c r="C51" s="10"/>
    </x:row>
    <x:row r="52">
      <x:c r="C52" s="10"/>
    </x:row>
    <x:row r="53">
      <x:c r="C53" s="10"/>
    </x:row>
    <x:row r="54">
      <x:c r="C54" s="10"/>
    </x:row>
    <x:row r="55">
      <x:c r="C55" s="10"/>
    </x:row>
    <x:row r="56">
      <x:c r="C56" s="10"/>
    </x:row>
    <x:row r="57">
      <x:c r="C57" s="10"/>
    </x:row>
    <x:row r="58">
      <x:c r="C58" s="10"/>
    </x:row>
    <x:row r="59">
      <x:c r="C59" s="10"/>
    </x:row>
    <x:row r="60">
      <x:c r="C60" s="10"/>
    </x:row>
    <x:row r="61">
      <x:c r="C61" s="10"/>
    </x:row>
    <x:row r="62">
      <x:c r="C62" s="10"/>
    </x:row>
    <x:row r="63">
      <x:c r="C63" s="10"/>
    </x:row>
    <x:row r="64">
      <x:c r="C64" s="10"/>
    </x:row>
    <x:row r="65">
      <x:c r="C65" s="10"/>
    </x:row>
    <x:row r="66">
      <x:c r="C66" s="10"/>
    </x:row>
    <x:row r="67">
      <x:c r="C67" s="10"/>
    </x:row>
    <x:row r="68">
      <x:c r="C68" s="10"/>
    </x:row>
    <x:row r="69">
      <x:c r="C69" s="10"/>
    </x:row>
    <x:row r="70">
      <x:c r="C70" s="10"/>
    </x:row>
    <x:row r="71">
      <x:c r="C71" s="10"/>
    </x:row>
    <x:row r="72">
      <x:c r="C72" s="10"/>
    </x:row>
    <x:row r="73">
      <x:c r="C73" s="10"/>
    </x:row>
    <x:row r="74">
      <x:c r="C74" s="10"/>
    </x:row>
    <x:row r="75">
      <x:c r="C75" s="10"/>
    </x:row>
    <x:row r="76">
      <x:c r="C76" s="10"/>
    </x:row>
    <x:row r="77">
      <x:c r="C77" s="10"/>
    </x:row>
    <x:row r="78">
      <x:c r="C78" s="10"/>
    </x:row>
    <x:row r="79">
      <x:c r="C79" s="10"/>
    </x:row>
    <x:row r="80">
      <x:c r="C80" s="10"/>
    </x:row>
    <x:row r="81">
      <x:c r="C81" s="10"/>
    </x:row>
    <x:row r="82">
      <x:c r="C82" s="10"/>
    </x:row>
    <x:row r="83">
      <x:c r="C83" s="10"/>
    </x:row>
    <x:row r="84">
      <x:c r="C84" s="10"/>
    </x:row>
    <x:row r="85">
      <x:c r="C85" s="10"/>
    </x:row>
    <x:row r="86">
      <x:c r="C86" s="10"/>
    </x:row>
    <x:row r="87">
      <x:c r="C87" s="10"/>
    </x:row>
    <x:row r="88">
      <x:c r="C88" s="10"/>
    </x:row>
    <x:row r="89">
      <x:c r="C89" s="10"/>
    </x:row>
    <x:row r="90">
      <x:c r="C90" s="10"/>
    </x:row>
    <x:row r="91">
      <x:c r="C91" s="10"/>
    </x:row>
    <x:row r="92">
      <x:c r="C92" s="10"/>
    </x:row>
    <x:row r="93">
      <x:c r="C93" s="10"/>
    </x:row>
    <x:row r="94">
      <x:c r="C94" s="10"/>
    </x:row>
    <x:row r="95">
      <x:c r="C95" s="10"/>
    </x:row>
    <x:row r="96">
      <x:c r="C96" s="10"/>
    </x:row>
    <x:row r="97">
      <x:c r="C97" s="10"/>
    </x:row>
    <x:row r="98">
      <x:c r="C98" s="10"/>
    </x:row>
    <x:row r="99">
      <x:c r="C99" s="10"/>
    </x:row>
    <x:row r="100">
      <x:c r="C100" s="10"/>
    </x:row>
    <x:row r="101">
      <x:c r="C101" s="10"/>
    </x:row>
    <x:row r="102">
      <x:c r="C102" s="10"/>
    </x:row>
    <x:row r="103">
      <x:c r="C103" s="10"/>
    </x:row>
    <x:row r="104">
      <x:c r="C104" s="10"/>
    </x:row>
    <x:row r="105">
      <x:c r="C105" s="10"/>
    </x:row>
    <x:row r="106">
      <x:c r="C106" s="10"/>
    </x:row>
    <x:row r="107">
      <x:c r="C107" s="10"/>
    </x:row>
    <x:row r="108">
      <x:c r="C108" s="10"/>
    </x:row>
    <x:row r="109">
      <x:c r="C109" s="10"/>
    </x:row>
    <x:row r="110">
      <x:c r="C110" s="10"/>
    </x:row>
    <x:row r="111">
      <x:c r="C111" s="10"/>
    </x:row>
    <x:row r="112">
      <x:c r="C112" s="10"/>
    </x:row>
    <x:row r="113">
      <x:c r="C113" s="10"/>
    </x:row>
    <x:row r="114">
      <x:c r="C114" s="10"/>
    </x:row>
    <x:row r="115">
      <x:c r="C115" s="10"/>
    </x:row>
    <x:row r="116">
      <x:c r="C116" s="10"/>
    </x:row>
    <x:row r="117">
      <x:c r="C117" s="10"/>
    </x:row>
    <x:row r="118">
      <x:c r="C118" s="10"/>
    </x:row>
    <x:row r="119">
      <x:c r="C119" s="10"/>
    </x:row>
    <x:row r="120">
      <x:c r="C120" s="10"/>
    </x:row>
    <x:row r="121">
      <x:c r="C121" s="10"/>
    </x:row>
    <x:row r="122">
      <x:c r="C122" s="10"/>
    </x:row>
    <x:row r="123">
      <x:c r="C123" s="10"/>
    </x:row>
    <x:row r="124">
      <x:c r="C124" s="10"/>
    </x:row>
    <x:row r="125">
      <x:c r="C125" s="10"/>
    </x:row>
    <x:row r="126">
      <x:c r="C126" s="10"/>
    </x:row>
    <x:row r="127">
      <x:c r="C127" s="10"/>
    </x:row>
    <x:row r="128">
      <x:c r="C128" s="10"/>
    </x:row>
    <x:row r="129">
      <x:c r="C129" s="10"/>
    </x:row>
    <x:row r="130">
      <x:c r="C130" s="10"/>
    </x:row>
    <x:row r="131">
      <x:c r="C131" s="10"/>
    </x:row>
    <x:row r="132">
      <x:c r="C132" s="10"/>
    </x:row>
    <x:row r="133">
      <x:c r="C133" s="10"/>
    </x:row>
    <x:row r="134">
      <x:c r="C134" s="10"/>
    </x:row>
    <x:row r="135">
      <x:c r="C135" s="10"/>
    </x:row>
    <x:row r="136">
      <x:c r="C136" s="10"/>
    </x:row>
    <x:row r="137">
      <x:c r="C137" s="10"/>
    </x:row>
    <x:row r="138">
      <x:c r="C138" s="10"/>
    </x:row>
    <x:row r="139">
      <x:c r="C139" s="10"/>
    </x:row>
    <x:row r="140">
      <x:c r="C140" s="10"/>
    </x:row>
    <x:row r="141">
      <x:c r="C141" s="10"/>
    </x:row>
    <x:row r="142">
      <x:c r="C142" s="10"/>
    </x:row>
    <x:row r="143">
      <x:c r="C143" s="10"/>
    </x:row>
    <x:row r="144">
      <x:c r="C144" s="10"/>
    </x:row>
    <x:row r="145">
      <x:c r="C145" s="10"/>
    </x:row>
    <x:row r="146">
      <x:c r="C146" s="10"/>
    </x:row>
    <x:row r="147">
      <x:c r="C147" s="10"/>
    </x:row>
    <x:row r="148">
      <x:c r="C148" s="10"/>
    </x:row>
    <x:row r="149">
      <x:c r="C149" s="10"/>
    </x:row>
    <x:row r="150">
      <x:c r="C150" s="10"/>
    </x:row>
    <x:row r="151">
      <x:c r="C151" s="10"/>
    </x:row>
    <x:row r="152">
      <x:c r="C152" s="10"/>
    </x:row>
    <x:row r="153">
      <x:c r="C153" s="10"/>
    </x:row>
    <x:row r="154">
      <x:c r="C154" s="10"/>
    </x:row>
    <x:row r="155">
      <x:c r="C155" s="10"/>
    </x:row>
    <x:row r="156">
      <x:c r="C156" s="10"/>
    </x:row>
    <x:row r="157">
      <x:c r="C157" s="10"/>
    </x:row>
    <x:row r="158">
      <x:c r="C158" s="10"/>
    </x:row>
    <x:row r="159">
      <x:c r="C159" s="10"/>
    </x:row>
    <x:row r="160">
      <x:c r="C160" s="10"/>
    </x:row>
    <x:row r="161">
      <x:c r="C161" s="10"/>
    </x:row>
    <x:row r="162">
      <x:c r="C162" s="10"/>
    </x:row>
    <x:row r="163">
      <x:c r="C163" s="10"/>
    </x:row>
    <x:row r="164">
      <x:c r="C164" s="10"/>
    </x:row>
    <x:row r="165">
      <x:c r="C165" s="10"/>
    </x:row>
    <x:row r="166">
      <x:c r="C166" s="10"/>
    </x:row>
    <x:row r="167">
      <x:c r="C167" s="10"/>
    </x:row>
    <x:row r="168">
      <x:c r="C168" s="10"/>
    </x:row>
    <x:row r="169">
      <x:c r="C169" s="10"/>
    </x:row>
    <x:row r="170">
      <x:c r="C170" s="10"/>
    </x:row>
    <x:row r="171">
      <x:c r="C171" s="10"/>
    </x:row>
    <x:row r="172">
      <x:c r="C172" s="10"/>
    </x:row>
    <x:row r="173">
      <x:c r="C173" s="10"/>
    </x:row>
    <x:row r="174">
      <x:c r="C174" s="10"/>
    </x:row>
    <x:row r="175">
      <x:c r="C175" s="10"/>
    </x:row>
    <x:row r="176">
      <x:c r="C176" s="10"/>
    </x:row>
    <x:row r="177">
      <x:c r="C177" s="10"/>
    </x:row>
    <x:row r="178">
      <x:c r="C178" s="10"/>
    </x:row>
    <x:row r="179">
      <x:c r="C179" s="10"/>
    </x:row>
    <x:row r="180">
      <x:c r="C180" s="10"/>
    </x:row>
    <x:row r="181">
      <x:c r="C181" s="10"/>
    </x:row>
    <x:row r="182">
      <x:c r="C182" s="10"/>
    </x:row>
    <x:row r="183">
      <x:c r="C183" s="10"/>
    </x:row>
    <x:row r="184">
      <x:c r="C184" s="10"/>
    </x:row>
    <x:row r="185">
      <x:c r="C185" s="10"/>
    </x:row>
    <x:row r="186">
      <x:c r="C186" s="10"/>
    </x:row>
    <x:row r="187">
      <x:c r="C187" s="10"/>
    </x:row>
    <x:row r="188">
      <x:c r="C188" s="10"/>
    </x:row>
    <x:row r="189">
      <x:c r="C189" s="10"/>
    </x:row>
    <x:row r="190">
      <x:c r="C190" s="10"/>
    </x:row>
    <x:row r="191">
      <x:c r="C191" s="10"/>
    </x:row>
    <x:row r="192">
      <x:c r="C192" s="10"/>
    </x:row>
    <x:row r="193">
      <x:c r="C193" s="10"/>
    </x:row>
    <x:row r="194">
      <x:c r="C194" s="10"/>
    </x:row>
    <x:row r="195">
      <x:c r="C195" s="10"/>
    </x:row>
    <x:row r="196">
      <x:c r="C196" s="10"/>
    </x:row>
    <x:row r="197">
      <x:c r="C197" s="10"/>
    </x:row>
    <x:row r="198">
      <x:c r="C198" s="10"/>
    </x:row>
    <x:row r="199">
      <x:c r="C199" s="10"/>
    </x:row>
    <x:row r="200">
      <x:c r="C200" s="10"/>
    </x:row>
  </x:sheetData>
  <x:dataValidations count="1">
    <x:dataValidation type="list" sqref="F2:F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208bc7fd7145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21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28" customHeight="1">
      <x:c r="A1" s="5" t="str">
        <x:v>attendance_id</x:v>
      </x:c>
      <x:c r="B1" s="5" t="str">
        <x:v>event_id</x:v>
      </x:c>
      <x:c r="C1" s="5" t="str">
        <x:v>member_id</x:v>
      </x:c>
      <x:c r="D1" s="5" t="str">
        <x:v>check_in_time</x:v>
      </x:c>
      <x:c r="E1" s="5" t="str">
        <x:v>attendance_status</x:v>
      </x:c>
      <x:c r="F1" s="5" t="str">
        <x:v>excuse_status</x:v>
      </x:c>
      <x:c r="G1" s="5" t="str">
        <x:v>notes</x:v>
      </x:c>
    </x:row>
    <x:row r="2">
      <x:c r="A2" s="6" t="str">
        <x:v>A001</x:v>
      </x:c>
      <x:c r="B2" s="6" t="str">
        <x:v>E001</x:v>
      </x:c>
      <x:c r="C2" s="6" t="str">
        <x:v>M001</x:v>
      </x:c>
      <x:c r="D2" s="11" t="n">
        <x:v>46184.00069444445</x:v>
      </x:c>
      <x:c r="E2" s="6" t="str">
        <x:v>Present</x:v>
      </x:c>
      <x:c r="F2" s="6" t="str">
        <x:v>Not Needed</x:v>
      </x:c>
      <x:c r="G2" s="6" t="str"/>
    </x:row>
    <x:row r="3">
      <x:c r="A3" s="6" t="str">
        <x:v>A002</x:v>
      </x:c>
      <x:c r="B3" s="6" t="str">
        <x:v>E001</x:v>
      </x:c>
      <x:c r="C3" s="6" t="str">
        <x:v>M002</x:v>
      </x:c>
      <x:c r="D3" s="11" t="n">
        <x:v>46184.001388888886</x:v>
      </x:c>
      <x:c r="E3" s="6" t="str">
        <x:v>Present</x:v>
      </x:c>
      <x:c r="F3" s="6" t="str">
        <x:v>Not Needed</x:v>
      </x:c>
      <x:c r="G3" s="6" t="str"/>
    </x:row>
    <x:row r="4">
      <x:c r="A4" s="6" t="str">
        <x:v>A003</x:v>
      </x:c>
      <x:c r="B4" s="6" t="str">
        <x:v>E001</x:v>
      </x:c>
      <x:c r="C4" s="6" t="str">
        <x:v>M003</x:v>
      </x:c>
      <x:c r="D4" s="11" t="n">
        <x:v>46184</x:v>
      </x:c>
      <x:c r="E4" s="6" t="str">
        <x:v>Present</x:v>
      </x:c>
      <x:c r="F4" s="6" t="str">
        <x:v>Not Needed</x:v>
      </x:c>
      <x:c r="G4" s="6" t="str"/>
    </x:row>
    <x:row r="5">
      <x:c r="A5" s="6" t="str">
        <x:v>A004</x:v>
      </x:c>
      <x:c r="B5" s="6" t="str">
        <x:v>E001</x:v>
      </x:c>
      <x:c r="C5" s="6" t="str">
        <x:v>M004</x:v>
      </x:c>
      <x:c r="D5" s="11"/>
      <x:c r="E5" s="6" t="str">
        <x:v>Absent</x:v>
      </x:c>
      <x:c r="F5" s="6" t="str">
        <x:v>Approved</x:v>
      </x:c>
      <x:c r="G5" s="6" t="str">
        <x:v>Academic conflict</x:v>
      </x:c>
    </x:row>
    <x:row r="6">
      <x:c r="A6" s="6" t="str">
        <x:v>A005</x:v>
      </x:c>
      <x:c r="B6" s="6" t="str">
        <x:v>E001</x:v>
      </x:c>
      <x:c r="C6" s="6" t="str">
        <x:v>M005</x:v>
      </x:c>
      <x:c r="D6" s="11" t="n">
        <x:v>46184.00347222222</x:v>
      </x:c>
      <x:c r="E6" s="6" t="str">
        <x:v>Present</x:v>
      </x:c>
      <x:c r="F6" s="6" t="str">
        <x:v>Not Needed</x:v>
      </x:c>
      <x:c r="G6" s="6" t="str"/>
    </x:row>
    <x:row r="7">
      <x:c r="A7" s="6" t="str">
        <x:v>A006</x:v>
      </x:c>
      <x:c r="B7" s="6" t="str">
        <x:v>E001</x:v>
      </x:c>
      <x:c r="C7" s="6" t="str">
        <x:v>M006</x:v>
      </x:c>
      <x:c r="D7" s="11"/>
      <x:c r="E7" s="6" t="str">
        <x:v>Absent</x:v>
      </x:c>
      <x:c r="F7" s="6" t="str">
        <x:v>Pending</x:v>
      </x:c>
      <x:c r="G7" s="6" t="str"/>
    </x:row>
    <x:row r="8">
      <x:c r="A8" s="6" t="str">
        <x:v>A007</x:v>
      </x:c>
      <x:c r="B8" s="6" t="str">
        <x:v>E001</x:v>
      </x:c>
      <x:c r="C8" s="6" t="str">
        <x:v>M008</x:v>
      </x:c>
      <x:c r="D8" s="11" t="n">
        <x:v>46184.00208333333</x:v>
      </x:c>
      <x:c r="E8" s="6" t="str">
        <x:v>Present</x:v>
      </x:c>
      <x:c r="F8" s="6" t="str">
        <x:v>Not Needed</x:v>
      </x:c>
      <x:c r="G8" s="6" t="str"/>
    </x:row>
    <x:row r="9">
      <x:c r="A9" s="6" t="str">
        <x:v>A008</x:v>
      </x:c>
      <x:c r="B9" s="6" t="str">
        <x:v>E002</x:v>
      </x:c>
      <x:c r="C9" s="6" t="str">
        <x:v>M001</x:v>
      </x:c>
      <x:c r="D9" s="11" t="n">
        <x:v>46190.57986111111</x:v>
      </x:c>
      <x:c r="E9" s="6" t="str">
        <x:v>Present</x:v>
      </x:c>
      <x:c r="F9" s="6" t="str">
        <x:v>Not Needed</x:v>
      </x:c>
      <x:c r="G9" s="6" t="str"/>
    </x:row>
    <x:row r="10">
      <x:c r="A10" s="6" t="str">
        <x:v>A009</x:v>
      </x:c>
      <x:c r="B10" s="6" t="str">
        <x:v>E002</x:v>
      </x:c>
      <x:c r="C10" s="6" t="str">
        <x:v>M002</x:v>
      </x:c>
      <x:c r="D10" s="11" t="n">
        <x:v>46190.58194444444</x:v>
      </x:c>
      <x:c r="E10" s="6" t="str">
        <x:v>Present</x:v>
      </x:c>
      <x:c r="F10" s="6" t="str">
        <x:v>Not Needed</x:v>
      </x:c>
      <x:c r="G10" s="6" t="str"/>
    </x:row>
    <x:row r="11">
      <x:c r="A11" s="6" t="str">
        <x:v>A010</x:v>
      </x:c>
      <x:c r="B11" s="6" t="str">
        <x:v>E002</x:v>
      </x:c>
      <x:c r="C11" s="6" t="str">
        <x:v>M003</x:v>
      </x:c>
      <x:c r="D11" s="11"/>
      <x:c r="E11" s="6" t="str">
        <x:v>Absent</x:v>
      </x:c>
      <x:c r="F11" s="6" t="str">
        <x:v>Approved</x:v>
      </x:c>
      <x:c r="G11" s="6" t="str">
        <x:v>Work conflict</x:v>
      </x:c>
    </x:row>
    <x:row r="12">
      <x:c r="A12" s="6" t="str">
        <x:v>A011</x:v>
      </x:c>
      <x:c r="B12" s="6" t="str">
        <x:v>E002</x:v>
      </x:c>
      <x:c r="C12" s="6" t="str">
        <x:v>M004</x:v>
      </x:c>
      <x:c r="D12" s="11" t="n">
        <x:v>46190.58611111111</x:v>
      </x:c>
      <x:c r="E12" s="6" t="str">
        <x:v>Present</x:v>
      </x:c>
      <x:c r="F12" s="6" t="str">
        <x:v>Not Needed</x:v>
      </x:c>
      <x:c r="G12" s="6" t="str"/>
    </x:row>
    <x:row r="13">
      <x:c r="A13" s="6" t="str">
        <x:v>A012</x:v>
      </x:c>
      <x:c r="B13" s="6" t="str">
        <x:v>E002</x:v>
      </x:c>
      <x:c r="C13" s="6" t="str">
        <x:v>M005</x:v>
      </x:c>
      <x:c r="D13" s="11" t="n">
        <x:v>46190.583333333336</x:v>
      </x:c>
      <x:c r="E13" s="6" t="str">
        <x:v>Present</x:v>
      </x:c>
      <x:c r="F13" s="6" t="str">
        <x:v>Not Needed</x:v>
      </x:c>
      <x:c r="G13" s="6" t="str"/>
    </x:row>
    <x:row r="14">
      <x:c r="A14" s="6" t="str">
        <x:v>A013</x:v>
      </x:c>
      <x:c r="B14" s="6" t="str">
        <x:v>E002</x:v>
      </x:c>
      <x:c r="C14" s="6" t="str">
        <x:v>M006</x:v>
      </x:c>
      <x:c r="D14" s="11"/>
      <x:c r="E14" s="6" t="str">
        <x:v>Absent</x:v>
      </x:c>
      <x:c r="F14" s="6" t="str">
        <x:v>Not Requested</x:v>
      </x:c>
      <x:c r="G14" s="6" t="str"/>
    </x:row>
    <x:row r="15">
      <x:c r="A15" s="6" t="str">
        <x:v>A014</x:v>
      </x:c>
      <x:c r="B15" s="6" t="str">
        <x:v>E002</x:v>
      </x:c>
      <x:c r="C15" s="6" t="str">
        <x:v>M008</x:v>
      </x:c>
      <x:c r="D15" s="11" t="n">
        <x:v>46190.57638888889</x:v>
      </x:c>
      <x:c r="E15" s="6" t="str">
        <x:v>Present</x:v>
      </x:c>
      <x:c r="F15" s="6" t="str">
        <x:v>Not Needed</x:v>
      </x:c>
      <x:c r="G15" s="6" t="str"/>
    </x:row>
    <x:row r="16">
      <x:c r="A16" s="6" t="str">
        <x:v>A015</x:v>
      </x:c>
      <x:c r="B16" s="6" t="str">
        <x:v>E003</x:v>
      </x:c>
      <x:c r="C16" s="6" t="str">
        <x:v>M001</x:v>
      </x:c>
      <x:c r="D16" s="11" t="n">
        <x:v>46197.975694444445</x:v>
      </x:c>
      <x:c r="E16" s="6" t="str">
        <x:v>Present</x:v>
      </x:c>
      <x:c r="F16" s="6" t="str">
        <x:v>Not Needed</x:v>
      </x:c>
      <x:c r="G16" s="6" t="str"/>
    </x:row>
    <x:row r="17">
      <x:c r="A17" s="6" t="str">
        <x:v>A016</x:v>
      </x:c>
      <x:c r="B17" s="6" t="str">
        <x:v>E003</x:v>
      </x:c>
      <x:c r="C17" s="6" t="str">
        <x:v>M002</x:v>
      </x:c>
      <x:c r="D17" s="11" t="n">
        <x:v>46197.97222222222</x:v>
      </x:c>
      <x:c r="E17" s="6" t="str">
        <x:v>Present</x:v>
      </x:c>
      <x:c r="F17" s="6" t="str">
        <x:v>Not Needed</x:v>
      </x:c>
      <x:c r="G17" s="6" t="str"/>
    </x:row>
    <x:row r="18">
      <x:c r="A18" s="6" t="str">
        <x:v>A017</x:v>
      </x:c>
      <x:c r="B18" s="6" t="str">
        <x:v>E003</x:v>
      </x:c>
      <x:c r="C18" s="6" t="str">
        <x:v>M003</x:v>
      </x:c>
      <x:c r="D18" s="11" t="n">
        <x:v>46197.97777777778</x:v>
      </x:c>
      <x:c r="E18" s="6" t="str">
        <x:v>Present</x:v>
      </x:c>
      <x:c r="F18" s="6" t="str">
        <x:v>Not Needed</x:v>
      </x:c>
      <x:c r="G18" s="6" t="str"/>
    </x:row>
    <x:row r="19">
      <x:c r="A19" s="6" t="str">
        <x:v>A018</x:v>
      </x:c>
      <x:c r="B19" s="6" t="str">
        <x:v>E003</x:v>
      </x:c>
      <x:c r="C19" s="6" t="str">
        <x:v>M004</x:v>
      </x:c>
      <x:c r="D19" s="11" t="n">
        <x:v>46197.98055555556</x:v>
      </x:c>
      <x:c r="E19" s="6" t="str">
        <x:v>Late</x:v>
      </x:c>
      <x:c r="F19" s="6" t="str">
        <x:v>Not Needed</x:v>
      </x:c>
      <x:c r="G19" s="6" t="str"/>
    </x:row>
    <x:row r="20">
      <x:c r="A20" s="6" t="str">
        <x:v>A019</x:v>
      </x:c>
      <x:c r="B20" s="6" t="str">
        <x:v>E003</x:v>
      </x:c>
      <x:c r="C20" s="6" t="str">
        <x:v>M005</x:v>
      </x:c>
      <x:c r="D20" s="11"/>
      <x:c r="E20" s="6" t="str">
        <x:v>Absent</x:v>
      </x:c>
      <x:c r="F20" s="6" t="str">
        <x:v>Not Requested</x:v>
      </x:c>
      <x:c r="G20" s="6" t="str"/>
    </x:row>
    <x:row r="21">
      <x:c r="A21" s="6" t="str">
        <x:v>A020</x:v>
      </x:c>
      <x:c r="B21" s="6" t="str">
        <x:v>E003</x:v>
      </x:c>
      <x:c r="C21" s="6" t="str">
        <x:v>M006</x:v>
      </x:c>
      <x:c r="D21" s="11" t="n">
        <x:v>46197.978472222225</x:v>
      </x:c>
      <x:c r="E21" s="6" t="str">
        <x:v>Present</x:v>
      </x:c>
      <x:c r="F21" s="6" t="str">
        <x:v>Not Needed</x:v>
      </x:c>
      <x:c r="G21" s="6" t="str"/>
    </x:row>
    <x:row r="22">
      <x:c r="A22" s="7" t="str">
        <x:v>A021</x:v>
      </x:c>
      <x:c r="B22" s="7" t="str">
        <x:v>E003</x:v>
      </x:c>
      <x:c r="C22" s="7" t="str">
        <x:v>M008</x:v>
      </x:c>
      <x:c r="D22" s="12" t="n">
        <x:v>46197.97708333333</x:v>
      </x:c>
      <x:c r="E22" s="7" t="str">
        <x:v>Present</x:v>
      </x:c>
      <x:c r="F22" s="7" t="str">
        <x:v>Not Needed</x:v>
      </x:c>
      <x:c r="G22" s="7" t="str"/>
    </x:row>
    <x:row r="23">
      <x:c r="D23" s="13"/>
    </x:row>
    <x:row r="24">
      <x:c r="D24" s="13"/>
    </x:row>
    <x:row r="25">
      <x:c r="D25" s="13"/>
    </x:row>
    <x:row r="26">
      <x:c r="D26" s="13"/>
    </x:row>
    <x:row r="27">
      <x:c r="D27" s="13"/>
    </x:row>
    <x:row r="28">
      <x:c r="D28" s="13"/>
    </x:row>
    <x:row r="29">
      <x:c r="D29" s="13"/>
    </x:row>
    <x:row r="30">
      <x:c r="D30" s="13"/>
    </x:row>
    <x:row r="31">
      <x:c r="D31" s="13"/>
    </x:row>
    <x:row r="32">
      <x:c r="D32" s="13"/>
    </x:row>
    <x:row r="33">
      <x:c r="D33" s="13"/>
    </x:row>
    <x:row r="34">
      <x:c r="D34" s="13"/>
    </x:row>
    <x:row r="35">
      <x:c r="D35" s="13"/>
    </x:row>
    <x:row r="36">
      <x:c r="D36" s="13"/>
    </x:row>
    <x:row r="37">
      <x:c r="D37" s="13"/>
    </x:row>
    <x:row r="38">
      <x:c r="D38" s="13"/>
    </x:row>
    <x:row r="39">
      <x:c r="D39" s="13"/>
    </x:row>
    <x:row r="40">
      <x:c r="D40" s="13"/>
    </x:row>
    <x:row r="41">
      <x:c r="D41" s="13"/>
    </x:row>
    <x:row r="42">
      <x:c r="D42" s="13"/>
    </x:row>
    <x:row r="43">
      <x:c r="D43" s="13"/>
    </x:row>
    <x:row r="44">
      <x:c r="D44" s="13"/>
    </x:row>
    <x:row r="45">
      <x:c r="D45" s="13"/>
    </x:row>
    <x:row r="46">
      <x:c r="D46" s="13"/>
    </x:row>
    <x:row r="47">
      <x:c r="D47" s="13"/>
    </x:row>
    <x:row r="48">
      <x:c r="D48" s="13"/>
    </x:row>
    <x:row r="49">
      <x:c r="D49" s="13"/>
    </x:row>
    <x:row r="50">
      <x:c r="D50" s="13"/>
    </x:row>
    <x:row r="51">
      <x:c r="D51" s="13"/>
    </x:row>
    <x:row r="52">
      <x:c r="D52" s="13"/>
    </x:row>
    <x:row r="53">
      <x:c r="D53" s="13"/>
    </x:row>
    <x:row r="54">
      <x:c r="D54" s="13"/>
    </x:row>
    <x:row r="55">
      <x:c r="D55" s="13"/>
    </x:row>
    <x:row r="56">
      <x:c r="D56" s="13"/>
    </x:row>
    <x:row r="57">
      <x:c r="D57" s="13"/>
    </x:row>
    <x:row r="58">
      <x:c r="D58" s="13"/>
    </x:row>
    <x:row r="59">
      <x:c r="D59" s="13"/>
    </x:row>
    <x:row r="60">
      <x:c r="D60" s="13"/>
    </x:row>
    <x:row r="61">
      <x:c r="D61" s="13"/>
    </x:row>
    <x:row r="62">
      <x:c r="D62" s="13"/>
    </x:row>
    <x:row r="63">
      <x:c r="D63" s="13"/>
    </x:row>
    <x:row r="64">
      <x:c r="D64" s="13"/>
    </x:row>
    <x:row r="65">
      <x:c r="D65" s="13"/>
    </x:row>
    <x:row r="66">
      <x:c r="D66" s="13"/>
    </x:row>
    <x:row r="67">
      <x:c r="D67" s="13"/>
    </x:row>
    <x:row r="68">
      <x:c r="D68" s="13"/>
    </x:row>
    <x:row r="69">
      <x:c r="D69" s="13"/>
    </x:row>
    <x:row r="70">
      <x:c r="D70" s="13"/>
    </x:row>
    <x:row r="71">
      <x:c r="D71" s="13"/>
    </x:row>
    <x:row r="72">
      <x:c r="D72" s="13"/>
    </x:row>
    <x:row r="73">
      <x:c r="D73" s="13"/>
    </x:row>
    <x:row r="74">
      <x:c r="D74" s="13"/>
    </x:row>
    <x:row r="75">
      <x:c r="D75" s="13"/>
    </x:row>
    <x:row r="76">
      <x:c r="D76" s="13"/>
    </x:row>
    <x:row r="77">
      <x:c r="D77" s="13"/>
    </x:row>
    <x:row r="78">
      <x:c r="D78" s="13"/>
    </x:row>
    <x:row r="79">
      <x:c r="D79" s="13"/>
    </x:row>
    <x:row r="80">
      <x:c r="D80" s="13"/>
    </x:row>
    <x:row r="81">
      <x:c r="D81" s="13"/>
    </x:row>
    <x:row r="82">
      <x:c r="D82" s="13"/>
    </x:row>
    <x:row r="83">
      <x:c r="D83" s="13"/>
    </x:row>
    <x:row r="84">
      <x:c r="D84" s="13"/>
    </x:row>
    <x:row r="85">
      <x:c r="D85" s="13"/>
    </x:row>
    <x:row r="86">
      <x:c r="D86" s="13"/>
    </x:row>
    <x:row r="87">
      <x:c r="D87" s="13"/>
    </x:row>
    <x:row r="88">
      <x:c r="D88" s="13"/>
    </x:row>
    <x:row r="89">
      <x:c r="D89" s="13"/>
    </x:row>
    <x:row r="90">
      <x:c r="D90" s="13"/>
    </x:row>
    <x:row r="91">
      <x:c r="D91" s="13"/>
    </x:row>
    <x:row r="92">
      <x:c r="D92" s="13"/>
    </x:row>
    <x:row r="93">
      <x:c r="D93" s="13"/>
    </x:row>
    <x:row r="94">
      <x:c r="D94" s="13"/>
    </x:row>
    <x:row r="95">
      <x:c r="D95" s="13"/>
    </x:row>
    <x:row r="96">
      <x:c r="D96" s="13"/>
    </x:row>
    <x:row r="97">
      <x:c r="D97" s="13"/>
    </x:row>
    <x:row r="98">
      <x:c r="D98" s="13"/>
    </x:row>
    <x:row r="99">
      <x:c r="D99" s="13"/>
    </x:row>
    <x:row r="100">
      <x:c r="D100" s="13"/>
    </x:row>
    <x:row r="101">
      <x:c r="D101" s="13"/>
    </x:row>
    <x:row r="102">
      <x:c r="D102" s="13"/>
    </x:row>
    <x:row r="103">
      <x:c r="D103" s="13"/>
    </x:row>
    <x:row r="104">
      <x:c r="D104" s="13"/>
    </x:row>
    <x:row r="105">
      <x:c r="D105" s="13"/>
    </x:row>
    <x:row r="106">
      <x:c r="D106" s="13"/>
    </x:row>
    <x:row r="107">
      <x:c r="D107" s="13"/>
    </x:row>
    <x:row r="108">
      <x:c r="D108" s="13"/>
    </x:row>
    <x:row r="109">
      <x:c r="D109" s="13"/>
    </x:row>
    <x:row r="110">
      <x:c r="D110" s="13"/>
    </x:row>
    <x:row r="111">
      <x:c r="D111" s="13"/>
    </x:row>
    <x:row r="112">
      <x:c r="D112" s="13"/>
    </x:row>
    <x:row r="113">
      <x:c r="D113" s="13"/>
    </x:row>
    <x:row r="114">
      <x:c r="D114" s="13"/>
    </x:row>
    <x:row r="115">
      <x:c r="D115" s="13"/>
    </x:row>
    <x:row r="116">
      <x:c r="D116" s="13"/>
    </x:row>
    <x:row r="117">
      <x:c r="D117" s="13"/>
    </x:row>
    <x:row r="118">
      <x:c r="D118" s="13"/>
    </x:row>
    <x:row r="119">
      <x:c r="D119" s="13"/>
    </x:row>
    <x:row r="120">
      <x:c r="D120" s="13"/>
    </x:row>
    <x:row r="121">
      <x:c r="D121" s="13"/>
    </x:row>
    <x:row r="122">
      <x:c r="D122" s="13"/>
    </x:row>
    <x:row r="123">
      <x:c r="D123" s="13"/>
    </x:row>
    <x:row r="124">
      <x:c r="D124" s="13"/>
    </x:row>
    <x:row r="125">
      <x:c r="D125" s="13"/>
    </x:row>
    <x:row r="126">
      <x:c r="D126" s="13"/>
    </x:row>
    <x:row r="127">
      <x:c r="D127" s="13"/>
    </x:row>
    <x:row r="128">
      <x:c r="D128" s="13"/>
    </x:row>
    <x:row r="129">
      <x:c r="D129" s="13"/>
    </x:row>
    <x:row r="130">
      <x:c r="D130" s="13"/>
    </x:row>
    <x:row r="131">
      <x:c r="D131" s="13"/>
    </x:row>
    <x:row r="132">
      <x:c r="D132" s="13"/>
    </x:row>
    <x:row r="133">
      <x:c r="D133" s="13"/>
    </x:row>
    <x:row r="134">
      <x:c r="D134" s="13"/>
    </x:row>
    <x:row r="135">
      <x:c r="D135" s="13"/>
    </x:row>
    <x:row r="136">
      <x:c r="D136" s="13"/>
    </x:row>
    <x:row r="137">
      <x:c r="D137" s="13"/>
    </x:row>
    <x:row r="138">
      <x:c r="D138" s="13"/>
    </x:row>
    <x:row r="139">
      <x:c r="D139" s="13"/>
    </x:row>
    <x:row r="140">
      <x:c r="D140" s="13"/>
    </x:row>
    <x:row r="141">
      <x:c r="D141" s="13"/>
    </x:row>
    <x:row r="142">
      <x:c r="D142" s="13"/>
    </x:row>
    <x:row r="143">
      <x:c r="D143" s="13"/>
    </x:row>
    <x:row r="144">
      <x:c r="D144" s="13"/>
    </x:row>
    <x:row r="145">
      <x:c r="D145" s="13"/>
    </x:row>
    <x:row r="146">
      <x:c r="D146" s="13"/>
    </x:row>
    <x:row r="147">
      <x:c r="D147" s="13"/>
    </x:row>
    <x:row r="148">
      <x:c r="D148" s="13"/>
    </x:row>
    <x:row r="149">
      <x:c r="D149" s="13"/>
    </x:row>
    <x:row r="150">
      <x:c r="D150" s="13"/>
    </x:row>
    <x:row r="151">
      <x:c r="D151" s="13"/>
    </x:row>
    <x:row r="152">
      <x:c r="D152" s="13"/>
    </x:row>
    <x:row r="153">
      <x:c r="D153" s="13"/>
    </x:row>
    <x:row r="154">
      <x:c r="D154" s="13"/>
    </x:row>
    <x:row r="155">
      <x:c r="D155" s="13"/>
    </x:row>
    <x:row r="156">
      <x:c r="D156" s="13"/>
    </x:row>
    <x:row r="157">
      <x:c r="D157" s="13"/>
    </x:row>
    <x:row r="158">
      <x:c r="D158" s="13"/>
    </x:row>
    <x:row r="159">
      <x:c r="D159" s="13"/>
    </x:row>
    <x:row r="160">
      <x:c r="D160" s="13"/>
    </x:row>
    <x:row r="161">
      <x:c r="D161" s="13"/>
    </x:row>
    <x:row r="162">
      <x:c r="D162" s="13"/>
    </x:row>
    <x:row r="163">
      <x:c r="D163" s="13"/>
    </x:row>
    <x:row r="164">
      <x:c r="D164" s="13"/>
    </x:row>
    <x:row r="165">
      <x:c r="D165" s="13"/>
    </x:row>
    <x:row r="166">
      <x:c r="D166" s="13"/>
    </x:row>
    <x:row r="167">
      <x:c r="D167" s="13"/>
    </x:row>
    <x:row r="168">
      <x:c r="D168" s="13"/>
    </x:row>
    <x:row r="169">
      <x:c r="D169" s="13"/>
    </x:row>
    <x:row r="170">
      <x:c r="D170" s="13"/>
    </x:row>
    <x:row r="171">
      <x:c r="D171" s="13"/>
    </x:row>
    <x:row r="172">
      <x:c r="D172" s="13"/>
    </x:row>
    <x:row r="173">
      <x:c r="D173" s="13"/>
    </x:row>
    <x:row r="174">
      <x:c r="D174" s="13"/>
    </x:row>
    <x:row r="175">
      <x:c r="D175" s="13"/>
    </x:row>
    <x:row r="176">
      <x:c r="D176" s="13"/>
    </x:row>
    <x:row r="177">
      <x:c r="D177" s="13"/>
    </x:row>
    <x:row r="178">
      <x:c r="D178" s="13"/>
    </x:row>
    <x:row r="179">
      <x:c r="D179" s="13"/>
    </x:row>
    <x:row r="180">
      <x:c r="D180" s="13"/>
    </x:row>
    <x:row r="181">
      <x:c r="D181" s="13"/>
    </x:row>
    <x:row r="182">
      <x:c r="D182" s="13"/>
    </x:row>
    <x:row r="183">
      <x:c r="D183" s="13"/>
    </x:row>
    <x:row r="184">
      <x:c r="D184" s="13"/>
    </x:row>
    <x:row r="185">
      <x:c r="D185" s="13"/>
    </x:row>
    <x:row r="186">
      <x:c r="D186" s="13"/>
    </x:row>
    <x:row r="187">
      <x:c r="D187" s="13"/>
    </x:row>
    <x:row r="188">
      <x:c r="D188" s="13"/>
    </x:row>
    <x:row r="189">
      <x:c r="D189" s="13"/>
    </x:row>
    <x:row r="190">
      <x:c r="D190" s="13"/>
    </x:row>
    <x:row r="191">
      <x:c r="D191" s="13"/>
    </x:row>
    <x:row r="192">
      <x:c r="D192" s="13"/>
    </x:row>
    <x:row r="193">
      <x:c r="D193" s="13"/>
    </x:row>
    <x:row r="194">
      <x:c r="D194" s="13"/>
    </x:row>
    <x:row r="195">
      <x:c r="D195" s="13"/>
    </x:row>
    <x:row r="196">
      <x:c r="D196" s="13"/>
    </x:row>
    <x:row r="197">
      <x:c r="D197" s="13"/>
    </x:row>
    <x:row r="198">
      <x:c r="D198" s="13"/>
    </x:row>
    <x:row r="199">
      <x:c r="D199" s="13"/>
    </x:row>
    <x:row r="200">
      <x:c r="D200" s="13"/>
    </x:row>
    <x:row r="201">
      <x:c r="D201" s="13"/>
    </x:row>
    <x:row r="202">
      <x:c r="D202" s="13"/>
    </x:row>
    <x:row r="203">
      <x:c r="D203" s="13"/>
    </x:row>
    <x:row r="204">
      <x:c r="D204" s="13"/>
    </x:row>
    <x:row r="205">
      <x:c r="D205" s="13"/>
    </x:row>
    <x:row r="206">
      <x:c r="D206" s="13"/>
    </x:row>
    <x:row r="207">
      <x:c r="D207" s="13"/>
    </x:row>
    <x:row r="208">
      <x:c r="D208" s="13"/>
    </x:row>
    <x:row r="209">
      <x:c r="D209" s="13"/>
    </x:row>
    <x:row r="210">
      <x:c r="D210" s="13"/>
    </x:row>
    <x:row r="211">
      <x:c r="D211" s="13"/>
    </x:row>
    <x:row r="212">
      <x:c r="D212" s="13"/>
    </x:row>
    <x:row r="213">
      <x:c r="D213" s="13"/>
    </x:row>
    <x:row r="214">
      <x:c r="D214" s="13"/>
    </x:row>
    <x:row r="215">
      <x:c r="D215" s="13"/>
    </x:row>
    <x:row r="216">
      <x:c r="D216" s="13"/>
    </x:row>
    <x:row r="217">
      <x:c r="D217" s="13"/>
    </x:row>
    <x:row r="218">
      <x:c r="D218" s="13"/>
    </x:row>
    <x:row r="219">
      <x:c r="D219" s="13"/>
    </x:row>
    <x:row r="220">
      <x:c r="D220" s="13"/>
    </x:row>
    <x:row r="221">
      <x:c r="D221" s="13"/>
    </x:row>
    <x:row r="222">
      <x:c r="D222" s="13"/>
    </x:row>
    <x:row r="223">
      <x:c r="D223" s="13"/>
    </x:row>
    <x:row r="224">
      <x:c r="D224" s="13"/>
    </x:row>
    <x:row r="225">
      <x:c r="D225" s="13"/>
    </x:row>
    <x:row r="226">
      <x:c r="D226" s="13"/>
    </x:row>
    <x:row r="227">
      <x:c r="D227" s="13"/>
    </x:row>
    <x:row r="228">
      <x:c r="D228" s="13"/>
    </x:row>
    <x:row r="229">
      <x:c r="D229" s="13"/>
    </x:row>
    <x:row r="230">
      <x:c r="D230" s="13"/>
    </x:row>
    <x:row r="231">
      <x:c r="D231" s="13"/>
    </x:row>
    <x:row r="232">
      <x:c r="D232" s="13"/>
    </x:row>
    <x:row r="233">
      <x:c r="D233" s="13"/>
    </x:row>
    <x:row r="234">
      <x:c r="D234" s="13"/>
    </x:row>
    <x:row r="235">
      <x:c r="D235" s="13"/>
    </x:row>
    <x:row r="236">
      <x:c r="D236" s="13"/>
    </x:row>
    <x:row r="237">
      <x:c r="D237" s="13"/>
    </x:row>
    <x:row r="238">
      <x:c r="D238" s="13"/>
    </x:row>
    <x:row r="239">
      <x:c r="D239" s="13"/>
    </x:row>
    <x:row r="240">
      <x:c r="D240" s="13"/>
    </x:row>
    <x:row r="241">
      <x:c r="D241" s="13"/>
    </x:row>
    <x:row r="242">
      <x:c r="D242" s="13"/>
    </x:row>
    <x:row r="243">
      <x:c r="D243" s="13"/>
    </x:row>
    <x:row r="244">
      <x:c r="D244" s="13"/>
    </x:row>
    <x:row r="245">
      <x:c r="D245" s="13"/>
    </x:row>
    <x:row r="246">
      <x:c r="D246" s="13"/>
    </x:row>
    <x:row r="247">
      <x:c r="D247" s="13"/>
    </x:row>
    <x:row r="248">
      <x:c r="D248" s="13"/>
    </x:row>
    <x:row r="249">
      <x:c r="D249" s="13"/>
    </x:row>
    <x:row r="250">
      <x:c r="D250" s="13"/>
    </x:row>
    <x:row r="251">
      <x:c r="D251" s="13"/>
    </x:row>
    <x:row r="252">
      <x:c r="D252" s="13"/>
    </x:row>
    <x:row r="253">
      <x:c r="D253" s="13"/>
    </x:row>
    <x:row r="254">
      <x:c r="D254" s="13"/>
    </x:row>
    <x:row r="255">
      <x:c r="D255" s="13"/>
    </x:row>
    <x:row r="256">
      <x:c r="D256" s="13"/>
    </x:row>
    <x:row r="257">
      <x:c r="D257" s="13"/>
    </x:row>
    <x:row r="258">
      <x:c r="D258" s="13"/>
    </x:row>
    <x:row r="259">
      <x:c r="D259" s="13"/>
    </x:row>
    <x:row r="260">
      <x:c r="D260" s="13"/>
    </x:row>
    <x:row r="261">
      <x:c r="D261" s="13"/>
    </x:row>
    <x:row r="262">
      <x:c r="D262" s="13"/>
    </x:row>
    <x:row r="263">
      <x:c r="D263" s="13"/>
    </x:row>
    <x:row r="264">
      <x:c r="D264" s="13"/>
    </x:row>
    <x:row r="265">
      <x:c r="D265" s="13"/>
    </x:row>
    <x:row r="266">
      <x:c r="D266" s="13"/>
    </x:row>
    <x:row r="267">
      <x:c r="D267" s="13"/>
    </x:row>
    <x:row r="268">
      <x:c r="D268" s="13"/>
    </x:row>
    <x:row r="269">
      <x:c r="D269" s="13"/>
    </x:row>
    <x:row r="270">
      <x:c r="D270" s="13"/>
    </x:row>
    <x:row r="271">
      <x:c r="D271" s="13"/>
    </x:row>
    <x:row r="272">
      <x:c r="D272" s="13"/>
    </x:row>
    <x:row r="273">
      <x:c r="D273" s="13"/>
    </x:row>
    <x:row r="274">
      <x:c r="D274" s="13"/>
    </x:row>
    <x:row r="275">
      <x:c r="D275" s="13"/>
    </x:row>
    <x:row r="276">
      <x:c r="D276" s="13"/>
    </x:row>
    <x:row r="277">
      <x:c r="D277" s="13"/>
    </x:row>
    <x:row r="278">
      <x:c r="D278" s="13"/>
    </x:row>
    <x:row r="279">
      <x:c r="D279" s="13"/>
    </x:row>
    <x:row r="280">
      <x:c r="D280" s="13"/>
    </x:row>
    <x:row r="281">
      <x:c r="D281" s="13"/>
    </x:row>
    <x:row r="282">
      <x:c r="D282" s="13"/>
    </x:row>
    <x:row r="283">
      <x:c r="D283" s="13"/>
    </x:row>
    <x:row r="284">
      <x:c r="D284" s="13"/>
    </x:row>
    <x:row r="285">
      <x:c r="D285" s="13"/>
    </x:row>
    <x:row r="286">
      <x:c r="D286" s="13"/>
    </x:row>
    <x:row r="287">
      <x:c r="D287" s="13"/>
    </x:row>
    <x:row r="288">
      <x:c r="D288" s="13"/>
    </x:row>
    <x:row r="289">
      <x:c r="D289" s="13"/>
    </x:row>
    <x:row r="290">
      <x:c r="D290" s="13"/>
    </x:row>
    <x:row r="291">
      <x:c r="D291" s="13"/>
    </x:row>
    <x:row r="292">
      <x:c r="D292" s="13"/>
    </x:row>
    <x:row r="293">
      <x:c r="D293" s="13"/>
    </x:row>
    <x:row r="294">
      <x:c r="D294" s="13"/>
    </x:row>
    <x:row r="295">
      <x:c r="D295" s="13"/>
    </x:row>
    <x:row r="296">
      <x:c r="D296" s="13"/>
    </x:row>
    <x:row r="297">
      <x:c r="D297" s="13"/>
    </x:row>
    <x:row r="298">
      <x:c r="D298" s="13"/>
    </x:row>
    <x:row r="299">
      <x:c r="D299" s="13"/>
    </x:row>
    <x:row r="300">
      <x:c r="D300" s="13"/>
    </x:row>
    <x:row r="301">
      <x:c r="D301" s="13"/>
    </x:row>
    <x:row r="302">
      <x:c r="D302" s="13"/>
    </x:row>
    <x:row r="303">
      <x:c r="D303" s="13"/>
    </x:row>
    <x:row r="304">
      <x:c r="D304" s="13"/>
    </x:row>
    <x:row r="305">
      <x:c r="D305" s="13"/>
    </x:row>
    <x:row r="306">
      <x:c r="D306" s="13"/>
    </x:row>
    <x:row r="307">
      <x:c r="D307" s="13"/>
    </x:row>
    <x:row r="308">
      <x:c r="D308" s="13"/>
    </x:row>
    <x:row r="309">
      <x:c r="D309" s="13"/>
    </x:row>
    <x:row r="310">
      <x:c r="D310" s="13"/>
    </x:row>
    <x:row r="311">
      <x:c r="D311" s="13"/>
    </x:row>
    <x:row r="312">
      <x:c r="D312" s="13"/>
    </x:row>
    <x:row r="313">
      <x:c r="D313" s="13"/>
    </x:row>
    <x:row r="314">
      <x:c r="D314" s="13"/>
    </x:row>
    <x:row r="315">
      <x:c r="D315" s="13"/>
    </x:row>
    <x:row r="316">
      <x:c r="D316" s="13"/>
    </x:row>
    <x:row r="317">
      <x:c r="D317" s="13"/>
    </x:row>
    <x:row r="318">
      <x:c r="D318" s="13"/>
    </x:row>
    <x:row r="319">
      <x:c r="D319" s="13"/>
    </x:row>
    <x:row r="320">
      <x:c r="D320" s="13"/>
    </x:row>
    <x:row r="321">
      <x:c r="D321" s="13"/>
    </x:row>
    <x:row r="322">
      <x:c r="D322" s="13"/>
    </x:row>
    <x:row r="323">
      <x:c r="D323" s="13"/>
    </x:row>
    <x:row r="324">
      <x:c r="D324" s="13"/>
    </x:row>
    <x:row r="325">
      <x:c r="D325" s="13"/>
    </x:row>
    <x:row r="326">
      <x:c r="D326" s="13"/>
    </x:row>
    <x:row r="327">
      <x:c r="D327" s="13"/>
    </x:row>
    <x:row r="328">
      <x:c r="D328" s="13"/>
    </x:row>
    <x:row r="329">
      <x:c r="D329" s="13"/>
    </x:row>
    <x:row r="330">
      <x:c r="D330" s="13"/>
    </x:row>
    <x:row r="331">
      <x:c r="D331" s="13"/>
    </x:row>
    <x:row r="332">
      <x:c r="D332" s="13"/>
    </x:row>
    <x:row r="333">
      <x:c r="D333" s="13"/>
    </x:row>
    <x:row r="334">
      <x:c r="D334" s="13"/>
    </x:row>
    <x:row r="335">
      <x:c r="D335" s="13"/>
    </x:row>
    <x:row r="336">
      <x:c r="D336" s="13"/>
    </x:row>
    <x:row r="337">
      <x:c r="D337" s="13"/>
    </x:row>
    <x:row r="338">
      <x:c r="D338" s="13"/>
    </x:row>
    <x:row r="339">
      <x:c r="D339" s="13"/>
    </x:row>
    <x:row r="340">
      <x:c r="D340" s="13"/>
    </x:row>
    <x:row r="341">
      <x:c r="D341" s="13"/>
    </x:row>
    <x:row r="342">
      <x:c r="D342" s="13"/>
    </x:row>
    <x:row r="343">
      <x:c r="D343" s="13"/>
    </x:row>
    <x:row r="344">
      <x:c r="D344" s="13"/>
    </x:row>
    <x:row r="345">
      <x:c r="D345" s="13"/>
    </x:row>
    <x:row r="346">
      <x:c r="D346" s="13"/>
    </x:row>
    <x:row r="347">
      <x:c r="D347" s="13"/>
    </x:row>
    <x:row r="348">
      <x:c r="D348" s="13"/>
    </x:row>
    <x:row r="349">
      <x:c r="D349" s="13"/>
    </x:row>
    <x:row r="350">
      <x:c r="D350" s="13"/>
    </x:row>
    <x:row r="351">
      <x:c r="D351" s="13"/>
    </x:row>
    <x:row r="352">
      <x:c r="D352" s="13"/>
    </x:row>
    <x:row r="353">
      <x:c r="D353" s="13"/>
    </x:row>
    <x:row r="354">
      <x:c r="D354" s="13"/>
    </x:row>
    <x:row r="355">
      <x:c r="D355" s="13"/>
    </x:row>
    <x:row r="356">
      <x:c r="D356" s="13"/>
    </x:row>
    <x:row r="357">
      <x:c r="D357" s="13"/>
    </x:row>
    <x:row r="358">
      <x:c r="D358" s="13"/>
    </x:row>
    <x:row r="359">
      <x:c r="D359" s="13"/>
    </x:row>
    <x:row r="360">
      <x:c r="D360" s="13"/>
    </x:row>
    <x:row r="361">
      <x:c r="D361" s="13"/>
    </x:row>
    <x:row r="362">
      <x:c r="D362" s="13"/>
    </x:row>
    <x:row r="363">
      <x:c r="D363" s="13"/>
    </x:row>
    <x:row r="364">
      <x:c r="D364" s="13"/>
    </x:row>
    <x:row r="365">
      <x:c r="D365" s="13"/>
    </x:row>
    <x:row r="366">
      <x:c r="D366" s="13"/>
    </x:row>
    <x:row r="367">
      <x:c r="D367" s="13"/>
    </x:row>
    <x:row r="368">
      <x:c r="D368" s="13"/>
    </x:row>
    <x:row r="369">
      <x:c r="D369" s="13"/>
    </x:row>
    <x:row r="370">
      <x:c r="D370" s="13"/>
    </x:row>
    <x:row r="371">
      <x:c r="D371" s="13"/>
    </x:row>
    <x:row r="372">
      <x:c r="D372" s="13"/>
    </x:row>
    <x:row r="373">
      <x:c r="D373" s="13"/>
    </x:row>
    <x:row r="374">
      <x:c r="D374" s="13"/>
    </x:row>
    <x:row r="375">
      <x:c r="D375" s="13"/>
    </x:row>
    <x:row r="376">
      <x:c r="D376" s="13"/>
    </x:row>
    <x:row r="377">
      <x:c r="D377" s="13"/>
    </x:row>
    <x:row r="378">
      <x:c r="D378" s="13"/>
    </x:row>
    <x:row r="379">
      <x:c r="D379" s="13"/>
    </x:row>
    <x:row r="380">
      <x:c r="D380" s="13"/>
    </x:row>
    <x:row r="381">
      <x:c r="D381" s="13"/>
    </x:row>
    <x:row r="382">
      <x:c r="D382" s="13"/>
    </x:row>
    <x:row r="383">
      <x:c r="D383" s="13"/>
    </x:row>
    <x:row r="384">
      <x:c r="D384" s="13"/>
    </x:row>
    <x:row r="385">
      <x:c r="D385" s="13"/>
    </x:row>
    <x:row r="386">
      <x:c r="D386" s="13"/>
    </x:row>
    <x:row r="387">
      <x:c r="D387" s="13"/>
    </x:row>
    <x:row r="388">
      <x:c r="D388" s="13"/>
    </x:row>
    <x:row r="389">
      <x:c r="D389" s="13"/>
    </x:row>
    <x:row r="390">
      <x:c r="D390" s="13"/>
    </x:row>
    <x:row r="391">
      <x:c r="D391" s="13"/>
    </x:row>
    <x:row r="392">
      <x:c r="D392" s="13"/>
    </x:row>
    <x:row r="393">
      <x:c r="D393" s="13"/>
    </x:row>
    <x:row r="394">
      <x:c r="D394" s="13"/>
    </x:row>
    <x:row r="395">
      <x:c r="D395" s="13"/>
    </x:row>
    <x:row r="396">
      <x:c r="D396" s="13"/>
    </x:row>
    <x:row r="397">
      <x:c r="D397" s="13"/>
    </x:row>
    <x:row r="398">
      <x:c r="D398" s="13"/>
    </x:row>
    <x:row r="399">
      <x:c r="D399" s="13"/>
    </x:row>
    <x:row r="400">
      <x:c r="D400" s="13"/>
    </x:row>
    <x:row r="401">
      <x:c r="D401" s="13"/>
    </x:row>
    <x:row r="402">
      <x:c r="D402" s="13"/>
    </x:row>
    <x:row r="403">
      <x:c r="D403" s="13"/>
    </x:row>
    <x:row r="404">
      <x:c r="D404" s="13"/>
    </x:row>
    <x:row r="405">
      <x:c r="D405" s="13"/>
    </x:row>
    <x:row r="406">
      <x:c r="D406" s="13"/>
    </x:row>
    <x:row r="407">
      <x:c r="D407" s="13"/>
    </x:row>
    <x:row r="408">
      <x:c r="D408" s="13"/>
    </x:row>
    <x:row r="409">
      <x:c r="D409" s="13"/>
    </x:row>
    <x:row r="410">
      <x:c r="D410" s="13"/>
    </x:row>
    <x:row r="411">
      <x:c r="D411" s="13"/>
    </x:row>
    <x:row r="412">
      <x:c r="D412" s="13"/>
    </x:row>
    <x:row r="413">
      <x:c r="D413" s="13"/>
    </x:row>
    <x:row r="414">
      <x:c r="D414" s="13"/>
    </x:row>
    <x:row r="415">
      <x:c r="D415" s="13"/>
    </x:row>
    <x:row r="416">
      <x:c r="D416" s="13"/>
    </x:row>
    <x:row r="417">
      <x:c r="D417" s="13"/>
    </x:row>
    <x:row r="418">
      <x:c r="D418" s="13"/>
    </x:row>
    <x:row r="419">
      <x:c r="D419" s="13"/>
    </x:row>
    <x:row r="420">
      <x:c r="D420" s="13"/>
    </x:row>
    <x:row r="421">
      <x:c r="D421" s="13"/>
    </x:row>
    <x:row r="422">
      <x:c r="D422" s="13"/>
    </x:row>
    <x:row r="423">
      <x:c r="D423" s="13"/>
    </x:row>
    <x:row r="424">
      <x:c r="D424" s="13"/>
    </x:row>
    <x:row r="425">
      <x:c r="D425" s="13"/>
    </x:row>
    <x:row r="426">
      <x:c r="D426" s="13"/>
    </x:row>
    <x:row r="427">
      <x:c r="D427" s="13"/>
    </x:row>
    <x:row r="428">
      <x:c r="D428" s="13"/>
    </x:row>
    <x:row r="429">
      <x:c r="D429" s="13"/>
    </x:row>
    <x:row r="430">
      <x:c r="D430" s="13"/>
    </x:row>
    <x:row r="431">
      <x:c r="D431" s="13"/>
    </x:row>
    <x:row r="432">
      <x:c r="D432" s="13"/>
    </x:row>
    <x:row r="433">
      <x:c r="D433" s="13"/>
    </x:row>
    <x:row r="434">
      <x:c r="D434" s="13"/>
    </x:row>
    <x:row r="435">
      <x:c r="D435" s="13"/>
    </x:row>
    <x:row r="436">
      <x:c r="D436" s="13"/>
    </x:row>
    <x:row r="437">
      <x:c r="D437" s="13"/>
    </x:row>
    <x:row r="438">
      <x:c r="D438" s="13"/>
    </x:row>
    <x:row r="439">
      <x:c r="D439" s="13"/>
    </x:row>
    <x:row r="440">
      <x:c r="D440" s="13"/>
    </x:row>
    <x:row r="441">
      <x:c r="D441" s="13"/>
    </x:row>
    <x:row r="442">
      <x:c r="D442" s="13"/>
    </x:row>
    <x:row r="443">
      <x:c r="D443" s="13"/>
    </x:row>
    <x:row r="444">
      <x:c r="D444" s="13"/>
    </x:row>
    <x:row r="445">
      <x:c r="D445" s="13"/>
    </x:row>
    <x:row r="446">
      <x:c r="D446" s="13"/>
    </x:row>
    <x:row r="447">
      <x:c r="D447" s="13"/>
    </x:row>
    <x:row r="448">
      <x:c r="D448" s="13"/>
    </x:row>
    <x:row r="449">
      <x:c r="D449" s="13"/>
    </x:row>
    <x:row r="450">
      <x:c r="D450" s="13"/>
    </x:row>
    <x:row r="451">
      <x:c r="D451" s="13"/>
    </x:row>
    <x:row r="452">
      <x:c r="D452" s="13"/>
    </x:row>
    <x:row r="453">
      <x:c r="D453" s="13"/>
    </x:row>
    <x:row r="454">
      <x:c r="D454" s="13"/>
    </x:row>
    <x:row r="455">
      <x:c r="D455" s="13"/>
    </x:row>
    <x:row r="456">
      <x:c r="D456" s="13"/>
    </x:row>
    <x:row r="457">
      <x:c r="D457" s="13"/>
    </x:row>
    <x:row r="458">
      <x:c r="D458" s="13"/>
    </x:row>
    <x:row r="459">
      <x:c r="D459" s="13"/>
    </x:row>
    <x:row r="460">
      <x:c r="D460" s="13"/>
    </x:row>
    <x:row r="461">
      <x:c r="D461" s="13"/>
    </x:row>
    <x:row r="462">
      <x:c r="D462" s="13"/>
    </x:row>
    <x:row r="463">
      <x:c r="D463" s="13"/>
    </x:row>
    <x:row r="464">
      <x:c r="D464" s="13"/>
    </x:row>
    <x:row r="465">
      <x:c r="D465" s="13"/>
    </x:row>
    <x:row r="466">
      <x:c r="D466" s="13"/>
    </x:row>
    <x:row r="467">
      <x:c r="D467" s="13"/>
    </x:row>
    <x:row r="468">
      <x:c r="D468" s="13"/>
    </x:row>
    <x:row r="469">
      <x:c r="D469" s="13"/>
    </x:row>
    <x:row r="470">
      <x:c r="D470" s="13"/>
    </x:row>
    <x:row r="471">
      <x:c r="D471" s="13"/>
    </x:row>
    <x:row r="472">
      <x:c r="D472" s="13"/>
    </x:row>
    <x:row r="473">
      <x:c r="D473" s="13"/>
    </x:row>
    <x:row r="474">
      <x:c r="D474" s="13"/>
    </x:row>
    <x:row r="475">
      <x:c r="D475" s="13"/>
    </x:row>
    <x:row r="476">
      <x:c r="D476" s="13"/>
    </x:row>
    <x:row r="477">
      <x:c r="D477" s="13"/>
    </x:row>
    <x:row r="478">
      <x:c r="D478" s="13"/>
    </x:row>
    <x:row r="479">
      <x:c r="D479" s="13"/>
    </x:row>
    <x:row r="480">
      <x:c r="D480" s="13"/>
    </x:row>
    <x:row r="481">
      <x:c r="D481" s="13"/>
    </x:row>
    <x:row r="482">
      <x:c r="D482" s="13"/>
    </x:row>
    <x:row r="483">
      <x:c r="D483" s="13"/>
    </x:row>
    <x:row r="484">
      <x:c r="D484" s="13"/>
    </x:row>
    <x:row r="485">
      <x:c r="D485" s="13"/>
    </x:row>
    <x:row r="486">
      <x:c r="D486" s="13"/>
    </x:row>
    <x:row r="487">
      <x:c r="D487" s="13"/>
    </x:row>
    <x:row r="488">
      <x:c r="D488" s="13"/>
    </x:row>
    <x:row r="489">
      <x:c r="D489" s="13"/>
    </x:row>
    <x:row r="490">
      <x:c r="D490" s="13"/>
    </x:row>
    <x:row r="491">
      <x:c r="D491" s="13"/>
    </x:row>
    <x:row r="492">
      <x:c r="D492" s="13"/>
    </x:row>
    <x:row r="493">
      <x:c r="D493" s="13"/>
    </x:row>
    <x:row r="494">
      <x:c r="D494" s="13"/>
    </x:row>
    <x:row r="495">
      <x:c r="D495" s="13"/>
    </x:row>
    <x:row r="496">
      <x:c r="D496" s="13"/>
    </x:row>
    <x:row r="497">
      <x:c r="D497" s="13"/>
    </x:row>
    <x:row r="498">
      <x:c r="D498" s="13"/>
    </x:row>
    <x:row r="499">
      <x:c r="D499" s="13"/>
    </x:row>
    <x:row r="500">
      <x:c r="D500" s="13"/>
    </x:row>
  </x:sheetData>
  <x:dataValidations count="2">
    <x:dataValidation type="list" sqref="E2:E500">
      <x:formula1>"Present,Late,Absent"</x:formula1>
    </x:dataValidation>
    <x:dataValidation type="list" sqref="F2:F500">
      <x:formula1>"Not Needed,Not Requested,Pending,Approved,Denied"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4a63a4fbd546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  <x:col min="8" max="8" width="18" hidden="0" customWidth="1"/>
    <x:col min="9" max="9" width="15" hidden="0" customWidth="1"/>
    <x:col min="10" max="10" width="28" hidden="0" customWidth="1"/>
  </x:cols>
  <x:sheetData>
    <x:row r="1" ht="28" customHeight="1">
      <x:c r="A1" s="5" t="str">
        <x:v>dues_id</x:v>
      </x:c>
      <x:c r="B1" s="5" t="str">
        <x:v>member_id</x:v>
      </x:c>
      <x:c r="C1" s="5" t="str">
        <x:v>semester</x:v>
      </x:c>
      <x:c r="D1" s="5" t="str">
        <x:v>amount_owed</x:v>
      </x:c>
      <x:c r="E1" s="5" t="str">
        <x:v>amount_paid</x:v>
      </x:c>
      <x:c r="F1" s="5" t="str">
        <x:v>balance</x:v>
      </x:c>
      <x:c r="G1" s="5" t="str">
        <x:v>due_date</x:v>
      </x:c>
      <x:c r="H1" s="5" t="str">
        <x:v>payment_status</x:v>
      </x:c>
      <x:c r="I1" s="5" t="str">
        <x:v>payment_plan</x:v>
      </x:c>
      <x:c r="J1" s="5" t="str">
        <x:v>notes</x:v>
      </x:c>
    </x:row>
    <x:row r="2">
      <x:c r="A2" s="6" t="str">
        <x:v>D001</x:v>
      </x:c>
      <x:c r="B2" s="6" t="str">
        <x:v>M001</x:v>
      </x:c>
      <x:c r="C2" s="6" t="str">
        <x:v>Fall 2026</x:v>
      </x:c>
      <x:c r="D2" s="14" t="n">
        <x:v>450</x:v>
      </x:c>
      <x:c r="E2" s="14" t="n">
        <x:v>450</x:v>
      </x:c>
      <x:c r="F2" s="14" t="n">
        <x:f>D2-E2</x:f>
        <x:v>0</x:v>
      </x:c>
      <x:c r="G2" s="8" t="n">
        <x:v>46188</x:v>
      </x:c>
      <x:c r="H2" s="6" t="str">
        <x:v>Paid</x:v>
      </x:c>
      <x:c r="I2" s="6" t="str">
        <x:v>No</x:v>
      </x:c>
      <x:c r="J2" s="6" t="str"/>
    </x:row>
    <x:row r="3">
      <x:c r="A3" s="6" t="str">
        <x:v>D002</x:v>
      </x:c>
      <x:c r="B3" s="6" t="str">
        <x:v>M002</x:v>
      </x:c>
      <x:c r="C3" s="6" t="str">
        <x:v>Fall 2026</x:v>
      </x:c>
      <x:c r="D3" s="14" t="n">
        <x:v>450</x:v>
      </x:c>
      <x:c r="E3" s="14" t="n">
        <x:v>300</x:v>
      </x:c>
      <x:c r="F3" s="14" t="n">
        <x:f>D3-E3</x:f>
        <x:v>150</x:v>
      </x:c>
      <x:c r="G3" s="8" t="n">
        <x:v>46188</x:v>
      </x:c>
      <x:c r="H3" s="6" t="str">
        <x:v>Partial</x:v>
      </x:c>
      <x:c r="I3" s="6" t="str">
        <x:v>Yes</x:v>
      </x:c>
      <x:c r="J3" s="6" t="str">
        <x:v>Two installments</x:v>
      </x:c>
    </x:row>
    <x:row r="4">
      <x:c r="A4" s="6" t="str">
        <x:v>D003</x:v>
      </x:c>
      <x:c r="B4" s="6" t="str">
        <x:v>M003</x:v>
      </x:c>
      <x:c r="C4" s="6" t="str">
        <x:v>Fall 2026</x:v>
      </x:c>
      <x:c r="D4" s="14" t="n">
        <x:v>450</x:v>
      </x:c>
      <x:c r="E4" s="14" t="n">
        <x:v>0</x:v>
      </x:c>
      <x:c r="F4" s="14" t="n">
        <x:f>D4-E4</x:f>
        <x:v>450</x:v>
      </x:c>
      <x:c r="G4" s="8" t="n">
        <x:v>46198</x:v>
      </x:c>
      <x:c r="H4" s="6" t="str">
        <x:v>Overdue</x:v>
      </x:c>
      <x:c r="I4" s="6" t="str">
        <x:v>No</x:v>
      </x:c>
      <x:c r="J4" s="6" t="str"/>
    </x:row>
    <x:row r="5">
      <x:c r="A5" s="6" t="str">
        <x:v>D004</x:v>
      </x:c>
      <x:c r="B5" s="6" t="str">
        <x:v>M004</x:v>
      </x:c>
      <x:c r="C5" s="6" t="str">
        <x:v>Fall 2026</x:v>
      </x:c>
      <x:c r="D5" s="14" t="n">
        <x:v>350</x:v>
      </x:c>
      <x:c r="E5" s="14" t="n">
        <x:v>350</x:v>
      </x:c>
      <x:c r="F5" s="14" t="n">
        <x:f>D5-E5</x:f>
        <x:v>0</x:v>
      </x:c>
      <x:c r="G5" s="8" t="n">
        <x:v>46218</x:v>
      </x:c>
      <x:c r="H5" s="6" t="str">
        <x:v>Paid</x:v>
      </x:c>
      <x:c r="I5" s="6" t="str">
        <x:v>No</x:v>
      </x:c>
      <x:c r="J5" s="6" t="str"/>
    </x:row>
    <x:row r="6">
      <x:c r="A6" s="6" t="str">
        <x:v>D005</x:v>
      </x:c>
      <x:c r="B6" s="6" t="str">
        <x:v>M005</x:v>
      </x:c>
      <x:c r="C6" s="6" t="str">
        <x:v>Fall 2026</x:v>
      </x:c>
      <x:c r="D6" s="14" t="n">
        <x:v>450</x:v>
      </x:c>
      <x:c r="E6" s="14" t="n">
        <x:v>200</x:v>
      </x:c>
      <x:c r="F6" s="14" t="n">
        <x:f>D6-E6</x:f>
        <x:v>250</x:v>
      </x:c>
      <x:c r="G6" s="8" t="n">
        <x:v>46193</x:v>
      </x:c>
      <x:c r="H6" s="6" t="str">
        <x:v>Overdue</x:v>
      </x:c>
      <x:c r="I6" s="6" t="str">
        <x:v>Yes</x:v>
      </x:c>
      <x:c r="J6" s="6" t="str"/>
    </x:row>
    <x:row r="7">
      <x:c r="A7" s="6" t="str">
        <x:v>D006</x:v>
      </x:c>
      <x:c r="B7" s="6" t="str">
        <x:v>M006</x:v>
      </x:c>
      <x:c r="C7" s="6" t="str">
        <x:v>Fall 2026</x:v>
      </x:c>
      <x:c r="D7" s="14" t="n">
        <x:v>350</x:v>
      </x:c>
      <x:c r="E7" s="14" t="n">
        <x:v>0</x:v>
      </x:c>
      <x:c r="F7" s="14" t="n">
        <x:f>D7-E7</x:f>
        <x:v>350</x:v>
      </x:c>
      <x:c r="G7" s="8" t="n">
        <x:v>46218</x:v>
      </x:c>
      <x:c r="H7" s="6" t="str">
        <x:v>Unpaid</x:v>
      </x:c>
      <x:c r="I7" s="6" t="str">
        <x:v>No</x:v>
      </x:c>
      <x:c r="J7" s="6" t="str"/>
    </x:row>
    <x:row r="8">
      <x:c r="A8" s="7" t="str">
        <x:v>D007</x:v>
      </x:c>
      <x:c r="B8" s="7" t="str">
        <x:v>M008</x:v>
      </x:c>
      <x:c r="C8" s="7" t="str">
        <x:v>Fall 2026</x:v>
      </x:c>
      <x:c r="D8" s="15" t="n">
        <x:v>450</x:v>
      </x:c>
      <x:c r="E8" s="15" t="n">
        <x:v>450</x:v>
      </x:c>
      <x:c r="F8" s="15" t="n">
        <x:f>D8-E8</x:f>
        <x:v>0</x:v>
      </x:c>
      <x:c r="G8" s="9" t="n">
        <x:v>46188</x:v>
      </x:c>
      <x:c r="H8" s="7" t="str">
        <x:v>Paid</x:v>
      </x:c>
      <x:c r="I8" s="7" t="str">
        <x:v>No</x:v>
      </x:c>
      <x:c r="J8" s="7" t="str"/>
    </x:row>
    <x:row r="9">
      <x:c r="D9" s="16"/>
      <x:c r="E9" s="16"/>
      <x:c r="F9" s="16"/>
      <x:c r="G9" s="10"/>
    </x:row>
    <x:row r="10">
      <x:c r="D10" s="16"/>
      <x:c r="E10" s="16"/>
      <x:c r="F10" s="16"/>
      <x:c r="G10" s="10"/>
    </x:row>
    <x:row r="11">
      <x:c r="D11" s="16"/>
      <x:c r="E11" s="16"/>
      <x:c r="F11" s="16"/>
      <x:c r="G11" s="10"/>
    </x:row>
    <x:row r="12">
      <x:c r="D12" s="16"/>
      <x:c r="E12" s="16"/>
      <x:c r="F12" s="16"/>
      <x:c r="G12" s="10"/>
    </x:row>
    <x:row r="13">
      <x:c r="D13" s="16"/>
      <x:c r="E13" s="16"/>
      <x:c r="F13" s="16"/>
      <x:c r="G13" s="10"/>
    </x:row>
    <x:row r="14">
      <x:c r="D14" s="16"/>
      <x:c r="E14" s="16"/>
      <x:c r="F14" s="16"/>
      <x:c r="G14" s="10"/>
    </x:row>
    <x:row r="15">
      <x:c r="D15" s="16"/>
      <x:c r="E15" s="16"/>
      <x:c r="F15" s="16"/>
      <x:c r="G15" s="10"/>
    </x:row>
    <x:row r="16">
      <x:c r="D16" s="16"/>
      <x:c r="E16" s="16"/>
      <x:c r="F16" s="16"/>
      <x:c r="G16" s="10"/>
    </x:row>
    <x:row r="17">
      <x:c r="D17" s="16"/>
      <x:c r="E17" s="16"/>
      <x:c r="F17" s="16"/>
      <x:c r="G17" s="10"/>
    </x:row>
    <x:row r="18">
      <x:c r="D18" s="16"/>
      <x:c r="E18" s="16"/>
      <x:c r="F18" s="16"/>
      <x:c r="G18" s="10"/>
    </x:row>
    <x:row r="19">
      <x:c r="D19" s="16"/>
      <x:c r="E19" s="16"/>
      <x:c r="F19" s="16"/>
      <x:c r="G19" s="10"/>
    </x:row>
    <x:row r="20">
      <x:c r="D20" s="16"/>
      <x:c r="E20" s="16"/>
      <x:c r="F20" s="16"/>
      <x:c r="G20" s="10"/>
    </x:row>
    <x:row r="21">
      <x:c r="D21" s="16"/>
      <x:c r="E21" s="16"/>
      <x:c r="F21" s="16"/>
      <x:c r="G21" s="10"/>
    </x:row>
    <x:row r="22">
      <x:c r="D22" s="16"/>
      <x:c r="E22" s="16"/>
      <x:c r="F22" s="16"/>
      <x:c r="G22" s="10"/>
    </x:row>
    <x:row r="23">
      <x:c r="D23" s="16"/>
      <x:c r="E23" s="16"/>
      <x:c r="F23" s="16"/>
      <x:c r="G23" s="10"/>
    </x:row>
    <x:row r="24">
      <x:c r="D24" s="16"/>
      <x:c r="E24" s="16"/>
      <x:c r="F24" s="16"/>
      <x:c r="G24" s="10"/>
    </x:row>
    <x:row r="25">
      <x:c r="D25" s="16"/>
      <x:c r="E25" s="16"/>
      <x:c r="F25" s="16"/>
      <x:c r="G25" s="10"/>
    </x:row>
    <x:row r="26">
      <x:c r="D26" s="16"/>
      <x:c r="E26" s="16"/>
      <x:c r="F26" s="16"/>
      <x:c r="G26" s="10"/>
    </x:row>
    <x:row r="27">
      <x:c r="D27" s="16"/>
      <x:c r="E27" s="16"/>
      <x:c r="F27" s="16"/>
      <x:c r="G27" s="10"/>
    </x:row>
    <x:row r="28">
      <x:c r="D28" s="16"/>
      <x:c r="E28" s="16"/>
      <x:c r="F28" s="16"/>
      <x:c r="G28" s="10"/>
    </x:row>
    <x:row r="29">
      <x:c r="D29" s="16"/>
      <x:c r="E29" s="16"/>
      <x:c r="F29" s="16"/>
      <x:c r="G29" s="10"/>
    </x:row>
    <x:row r="30">
      <x:c r="D30" s="16"/>
      <x:c r="E30" s="16"/>
      <x:c r="F30" s="16"/>
      <x:c r="G30" s="10"/>
    </x:row>
    <x:row r="31">
      <x:c r="D31" s="16"/>
      <x:c r="E31" s="16"/>
      <x:c r="F31" s="16"/>
      <x:c r="G31" s="10"/>
    </x:row>
    <x:row r="32">
      <x:c r="D32" s="16"/>
      <x:c r="E32" s="16"/>
      <x:c r="F32" s="16"/>
      <x:c r="G32" s="10"/>
    </x:row>
    <x:row r="33">
      <x:c r="D33" s="16"/>
      <x:c r="E33" s="16"/>
      <x:c r="F33" s="16"/>
      <x:c r="G33" s="10"/>
    </x:row>
    <x:row r="34">
      <x:c r="D34" s="16"/>
      <x:c r="E34" s="16"/>
      <x:c r="F34" s="16"/>
      <x:c r="G34" s="10"/>
    </x:row>
    <x:row r="35">
      <x:c r="D35" s="16"/>
      <x:c r="E35" s="16"/>
      <x:c r="F35" s="16"/>
      <x:c r="G35" s="10"/>
    </x:row>
    <x:row r="36">
      <x:c r="D36" s="16"/>
      <x:c r="E36" s="16"/>
      <x:c r="F36" s="16"/>
      <x:c r="G36" s="10"/>
    </x:row>
    <x:row r="37">
      <x:c r="D37" s="16"/>
      <x:c r="E37" s="16"/>
      <x:c r="F37" s="16"/>
      <x:c r="G37" s="10"/>
    </x:row>
    <x:row r="38">
      <x:c r="D38" s="16"/>
      <x:c r="E38" s="16"/>
      <x:c r="F38" s="16"/>
      <x:c r="G38" s="10"/>
    </x:row>
    <x:row r="39">
      <x:c r="D39" s="16"/>
      <x:c r="E39" s="16"/>
      <x:c r="F39" s="16"/>
      <x:c r="G39" s="10"/>
    </x:row>
    <x:row r="40">
      <x:c r="D40" s="16"/>
      <x:c r="E40" s="16"/>
      <x:c r="F40" s="16"/>
      <x:c r="G40" s="10"/>
    </x:row>
    <x:row r="41">
      <x:c r="D41" s="16"/>
      <x:c r="E41" s="16"/>
      <x:c r="F41" s="16"/>
      <x:c r="G41" s="10"/>
    </x:row>
    <x:row r="42">
      <x:c r="D42" s="16"/>
      <x:c r="E42" s="16"/>
      <x:c r="F42" s="16"/>
      <x:c r="G42" s="10"/>
    </x:row>
    <x:row r="43">
      <x:c r="D43" s="16"/>
      <x:c r="E43" s="16"/>
      <x:c r="F43" s="16"/>
      <x:c r="G43" s="10"/>
    </x:row>
    <x:row r="44">
      <x:c r="D44" s="16"/>
      <x:c r="E44" s="16"/>
      <x:c r="F44" s="16"/>
      <x:c r="G44" s="10"/>
    </x:row>
    <x:row r="45">
      <x:c r="D45" s="16"/>
      <x:c r="E45" s="16"/>
      <x:c r="F45" s="16"/>
      <x:c r="G45" s="10"/>
    </x:row>
    <x:row r="46">
      <x:c r="D46" s="16"/>
      <x:c r="E46" s="16"/>
      <x:c r="F46" s="16"/>
      <x:c r="G46" s="10"/>
    </x:row>
    <x:row r="47">
      <x:c r="D47" s="16"/>
      <x:c r="E47" s="16"/>
      <x:c r="F47" s="16"/>
      <x:c r="G47" s="10"/>
    </x:row>
    <x:row r="48">
      <x:c r="D48" s="16"/>
      <x:c r="E48" s="16"/>
      <x:c r="F48" s="16"/>
      <x:c r="G48" s="10"/>
    </x:row>
    <x:row r="49">
      <x:c r="D49" s="16"/>
      <x:c r="E49" s="16"/>
      <x:c r="F49" s="16"/>
      <x:c r="G49" s="10"/>
    </x:row>
    <x:row r="50">
      <x:c r="D50" s="16"/>
      <x:c r="E50" s="16"/>
      <x:c r="F50" s="16"/>
      <x:c r="G50" s="10"/>
    </x:row>
    <x:row r="51">
      <x:c r="D51" s="16"/>
      <x:c r="E51" s="16"/>
      <x:c r="F51" s="16"/>
      <x:c r="G51" s="10"/>
    </x:row>
    <x:row r="52">
      <x:c r="D52" s="16"/>
      <x:c r="E52" s="16"/>
      <x:c r="F52" s="16"/>
      <x:c r="G52" s="10"/>
    </x:row>
    <x:row r="53">
      <x:c r="D53" s="16"/>
      <x:c r="E53" s="16"/>
      <x:c r="F53" s="16"/>
      <x:c r="G53" s="10"/>
    </x:row>
    <x:row r="54">
      <x:c r="D54" s="16"/>
      <x:c r="E54" s="16"/>
      <x:c r="F54" s="16"/>
      <x:c r="G54" s="10"/>
    </x:row>
    <x:row r="55">
      <x:c r="D55" s="16"/>
      <x:c r="E55" s="16"/>
      <x:c r="F55" s="16"/>
      <x:c r="G55" s="10"/>
    </x:row>
    <x:row r="56">
      <x:c r="D56" s="16"/>
      <x:c r="E56" s="16"/>
      <x:c r="F56" s="16"/>
      <x:c r="G56" s="10"/>
    </x:row>
    <x:row r="57">
      <x:c r="D57" s="16"/>
      <x:c r="E57" s="16"/>
      <x:c r="F57" s="16"/>
      <x:c r="G57" s="10"/>
    </x:row>
    <x:row r="58">
      <x:c r="D58" s="16"/>
      <x:c r="E58" s="16"/>
      <x:c r="F58" s="16"/>
      <x:c r="G58" s="10"/>
    </x:row>
    <x:row r="59">
      <x:c r="D59" s="16"/>
      <x:c r="E59" s="16"/>
      <x:c r="F59" s="16"/>
      <x:c r="G59" s="10"/>
    </x:row>
    <x:row r="60">
      <x:c r="D60" s="16"/>
      <x:c r="E60" s="16"/>
      <x:c r="F60" s="16"/>
      <x:c r="G60" s="10"/>
    </x:row>
    <x:row r="61">
      <x:c r="D61" s="16"/>
      <x:c r="E61" s="16"/>
      <x:c r="F61" s="16"/>
      <x:c r="G61" s="10"/>
    </x:row>
    <x:row r="62">
      <x:c r="D62" s="16"/>
      <x:c r="E62" s="16"/>
      <x:c r="F62" s="16"/>
      <x:c r="G62" s="10"/>
    </x:row>
    <x:row r="63">
      <x:c r="D63" s="16"/>
      <x:c r="E63" s="16"/>
      <x:c r="F63" s="16"/>
      <x:c r="G63" s="10"/>
    </x:row>
    <x:row r="64">
      <x:c r="D64" s="16"/>
      <x:c r="E64" s="16"/>
      <x:c r="F64" s="16"/>
      <x:c r="G64" s="10"/>
    </x:row>
    <x:row r="65">
      <x:c r="D65" s="16"/>
      <x:c r="E65" s="16"/>
      <x:c r="F65" s="16"/>
      <x:c r="G65" s="10"/>
    </x:row>
    <x:row r="66">
      <x:c r="D66" s="16"/>
      <x:c r="E66" s="16"/>
      <x:c r="F66" s="16"/>
      <x:c r="G66" s="10"/>
    </x:row>
    <x:row r="67">
      <x:c r="D67" s="16"/>
      <x:c r="E67" s="16"/>
      <x:c r="F67" s="16"/>
      <x:c r="G67" s="10"/>
    </x:row>
    <x:row r="68">
      <x:c r="D68" s="16"/>
      <x:c r="E68" s="16"/>
      <x:c r="F68" s="16"/>
      <x:c r="G68" s="10"/>
    </x:row>
    <x:row r="69">
      <x:c r="D69" s="16"/>
      <x:c r="E69" s="16"/>
      <x:c r="F69" s="16"/>
      <x:c r="G69" s="10"/>
    </x:row>
    <x:row r="70">
      <x:c r="D70" s="16"/>
      <x:c r="E70" s="16"/>
      <x:c r="F70" s="16"/>
      <x:c r="G70" s="10"/>
    </x:row>
    <x:row r="71">
      <x:c r="D71" s="16"/>
      <x:c r="E71" s="16"/>
      <x:c r="F71" s="16"/>
      <x:c r="G71" s="10"/>
    </x:row>
    <x:row r="72">
      <x:c r="D72" s="16"/>
      <x:c r="E72" s="16"/>
      <x:c r="F72" s="16"/>
      <x:c r="G72" s="10"/>
    </x:row>
    <x:row r="73">
      <x:c r="D73" s="16"/>
      <x:c r="E73" s="16"/>
      <x:c r="F73" s="16"/>
      <x:c r="G73" s="10"/>
    </x:row>
    <x:row r="74">
      <x:c r="D74" s="16"/>
      <x:c r="E74" s="16"/>
      <x:c r="F74" s="16"/>
      <x:c r="G74" s="10"/>
    </x:row>
    <x:row r="75">
      <x:c r="D75" s="16"/>
      <x:c r="E75" s="16"/>
      <x:c r="F75" s="16"/>
      <x:c r="G75" s="10"/>
    </x:row>
    <x:row r="76">
      <x:c r="D76" s="16"/>
      <x:c r="E76" s="16"/>
      <x:c r="F76" s="16"/>
      <x:c r="G76" s="10"/>
    </x:row>
    <x:row r="77">
      <x:c r="D77" s="16"/>
      <x:c r="E77" s="16"/>
      <x:c r="F77" s="16"/>
      <x:c r="G77" s="10"/>
    </x:row>
    <x:row r="78">
      <x:c r="D78" s="16"/>
      <x:c r="E78" s="16"/>
      <x:c r="F78" s="16"/>
      <x:c r="G78" s="10"/>
    </x:row>
    <x:row r="79">
      <x:c r="D79" s="16"/>
      <x:c r="E79" s="16"/>
      <x:c r="F79" s="16"/>
      <x:c r="G79" s="10"/>
    </x:row>
    <x:row r="80">
      <x:c r="D80" s="16"/>
      <x:c r="E80" s="16"/>
      <x:c r="F80" s="16"/>
      <x:c r="G80" s="10"/>
    </x:row>
    <x:row r="81">
      <x:c r="D81" s="16"/>
      <x:c r="E81" s="16"/>
      <x:c r="F81" s="16"/>
      <x:c r="G81" s="10"/>
    </x:row>
    <x:row r="82">
      <x:c r="D82" s="16"/>
      <x:c r="E82" s="16"/>
      <x:c r="F82" s="16"/>
      <x:c r="G82" s="10"/>
    </x:row>
    <x:row r="83">
      <x:c r="D83" s="16"/>
      <x:c r="E83" s="16"/>
      <x:c r="F83" s="16"/>
      <x:c r="G83" s="10"/>
    </x:row>
    <x:row r="84">
      <x:c r="D84" s="16"/>
      <x:c r="E84" s="16"/>
      <x:c r="F84" s="16"/>
      <x:c r="G84" s="10"/>
    </x:row>
    <x:row r="85">
      <x:c r="D85" s="16"/>
      <x:c r="E85" s="16"/>
      <x:c r="F85" s="16"/>
      <x:c r="G85" s="10"/>
    </x:row>
    <x:row r="86">
      <x:c r="D86" s="16"/>
      <x:c r="E86" s="16"/>
      <x:c r="F86" s="16"/>
      <x:c r="G86" s="10"/>
    </x:row>
    <x:row r="87">
      <x:c r="D87" s="16"/>
      <x:c r="E87" s="16"/>
      <x:c r="F87" s="16"/>
      <x:c r="G87" s="10"/>
    </x:row>
    <x:row r="88">
      <x:c r="D88" s="16"/>
      <x:c r="E88" s="16"/>
      <x:c r="F88" s="16"/>
      <x:c r="G88" s="10"/>
    </x:row>
    <x:row r="89">
      <x:c r="D89" s="16"/>
      <x:c r="E89" s="16"/>
      <x:c r="F89" s="16"/>
      <x:c r="G89" s="10"/>
    </x:row>
    <x:row r="90">
      <x:c r="D90" s="16"/>
      <x:c r="E90" s="16"/>
      <x:c r="F90" s="16"/>
      <x:c r="G90" s="10"/>
    </x:row>
    <x:row r="91">
      <x:c r="D91" s="16"/>
      <x:c r="E91" s="16"/>
      <x:c r="F91" s="16"/>
      <x:c r="G91" s="10"/>
    </x:row>
    <x:row r="92">
      <x:c r="D92" s="16"/>
      <x:c r="E92" s="16"/>
      <x:c r="F92" s="16"/>
      <x:c r="G92" s="10"/>
    </x:row>
    <x:row r="93">
      <x:c r="D93" s="16"/>
      <x:c r="E93" s="16"/>
      <x:c r="F93" s="16"/>
      <x:c r="G93" s="10"/>
    </x:row>
    <x:row r="94">
      <x:c r="D94" s="16"/>
      <x:c r="E94" s="16"/>
      <x:c r="F94" s="16"/>
      <x:c r="G94" s="10"/>
    </x:row>
    <x:row r="95">
      <x:c r="D95" s="16"/>
      <x:c r="E95" s="16"/>
      <x:c r="F95" s="16"/>
      <x:c r="G95" s="10"/>
    </x:row>
    <x:row r="96">
      <x:c r="D96" s="16"/>
      <x:c r="E96" s="16"/>
      <x:c r="F96" s="16"/>
      <x:c r="G96" s="10"/>
    </x:row>
    <x:row r="97">
      <x:c r="D97" s="16"/>
      <x:c r="E97" s="16"/>
      <x:c r="F97" s="16"/>
      <x:c r="G97" s="10"/>
    </x:row>
    <x:row r="98">
      <x:c r="D98" s="16"/>
      <x:c r="E98" s="16"/>
      <x:c r="F98" s="16"/>
      <x:c r="G98" s="10"/>
    </x:row>
    <x:row r="99">
      <x:c r="D99" s="16"/>
      <x:c r="E99" s="16"/>
      <x:c r="F99" s="16"/>
      <x:c r="G99" s="10"/>
    </x:row>
    <x:row r="100">
      <x:c r="D100" s="16"/>
      <x:c r="E100" s="16"/>
      <x:c r="F100" s="16"/>
      <x:c r="G100" s="10"/>
    </x:row>
    <x:row r="101">
      <x:c r="D101" s="16"/>
      <x:c r="E101" s="16"/>
      <x:c r="F101" s="16"/>
      <x:c r="G101" s="10"/>
    </x:row>
    <x:row r="102">
      <x:c r="D102" s="16"/>
      <x:c r="E102" s="16"/>
      <x:c r="F102" s="16"/>
      <x:c r="G102" s="10"/>
    </x:row>
    <x:row r="103">
      <x:c r="D103" s="16"/>
      <x:c r="E103" s="16"/>
      <x:c r="F103" s="16"/>
      <x:c r="G103" s="10"/>
    </x:row>
    <x:row r="104">
      <x:c r="D104" s="16"/>
      <x:c r="E104" s="16"/>
      <x:c r="F104" s="16"/>
      <x:c r="G104" s="10"/>
    </x:row>
    <x:row r="105">
      <x:c r="D105" s="16"/>
      <x:c r="E105" s="16"/>
      <x:c r="F105" s="16"/>
      <x:c r="G105" s="10"/>
    </x:row>
    <x:row r="106">
      <x:c r="D106" s="16"/>
      <x:c r="E106" s="16"/>
      <x:c r="F106" s="16"/>
      <x:c r="G106" s="10"/>
    </x:row>
    <x:row r="107">
      <x:c r="D107" s="16"/>
      <x:c r="E107" s="16"/>
      <x:c r="F107" s="16"/>
      <x:c r="G107" s="10"/>
    </x:row>
    <x:row r="108">
      <x:c r="D108" s="16"/>
      <x:c r="E108" s="16"/>
      <x:c r="F108" s="16"/>
      <x:c r="G108" s="10"/>
    </x:row>
    <x:row r="109">
      <x:c r="D109" s="16"/>
      <x:c r="E109" s="16"/>
      <x:c r="F109" s="16"/>
      <x:c r="G109" s="10"/>
    </x:row>
    <x:row r="110">
      <x:c r="D110" s="16"/>
      <x:c r="E110" s="16"/>
      <x:c r="F110" s="16"/>
      <x:c r="G110" s="10"/>
    </x:row>
    <x:row r="111">
      <x:c r="D111" s="16"/>
      <x:c r="E111" s="16"/>
      <x:c r="F111" s="16"/>
      <x:c r="G111" s="10"/>
    </x:row>
    <x:row r="112">
      <x:c r="D112" s="16"/>
      <x:c r="E112" s="16"/>
      <x:c r="F112" s="16"/>
      <x:c r="G112" s="10"/>
    </x:row>
    <x:row r="113">
      <x:c r="D113" s="16"/>
      <x:c r="E113" s="16"/>
      <x:c r="F113" s="16"/>
      <x:c r="G113" s="10"/>
    </x:row>
    <x:row r="114">
      <x:c r="D114" s="16"/>
      <x:c r="E114" s="16"/>
      <x:c r="F114" s="16"/>
      <x:c r="G114" s="10"/>
    </x:row>
    <x:row r="115">
      <x:c r="D115" s="16"/>
      <x:c r="E115" s="16"/>
      <x:c r="F115" s="16"/>
      <x:c r="G115" s="10"/>
    </x:row>
    <x:row r="116">
      <x:c r="D116" s="16"/>
      <x:c r="E116" s="16"/>
      <x:c r="F116" s="16"/>
      <x:c r="G116" s="10"/>
    </x:row>
    <x:row r="117">
      <x:c r="D117" s="16"/>
      <x:c r="E117" s="16"/>
      <x:c r="F117" s="16"/>
      <x:c r="G117" s="10"/>
    </x:row>
    <x:row r="118">
      <x:c r="D118" s="16"/>
      <x:c r="E118" s="16"/>
      <x:c r="F118" s="16"/>
      <x:c r="G118" s="10"/>
    </x:row>
    <x:row r="119">
      <x:c r="D119" s="16"/>
      <x:c r="E119" s="16"/>
      <x:c r="F119" s="16"/>
      <x:c r="G119" s="10"/>
    </x:row>
    <x:row r="120">
      <x:c r="D120" s="16"/>
      <x:c r="E120" s="16"/>
      <x:c r="F120" s="16"/>
      <x:c r="G120" s="10"/>
    </x:row>
    <x:row r="121">
      <x:c r="D121" s="16"/>
      <x:c r="E121" s="16"/>
      <x:c r="F121" s="16"/>
      <x:c r="G121" s="10"/>
    </x:row>
    <x:row r="122">
      <x:c r="D122" s="16"/>
      <x:c r="E122" s="16"/>
      <x:c r="F122" s="16"/>
      <x:c r="G122" s="10"/>
    </x:row>
    <x:row r="123">
      <x:c r="D123" s="16"/>
      <x:c r="E123" s="16"/>
      <x:c r="F123" s="16"/>
      <x:c r="G123" s="10"/>
    </x:row>
    <x:row r="124">
      <x:c r="D124" s="16"/>
      <x:c r="E124" s="16"/>
      <x:c r="F124" s="16"/>
      <x:c r="G124" s="10"/>
    </x:row>
    <x:row r="125">
      <x:c r="D125" s="16"/>
      <x:c r="E125" s="16"/>
      <x:c r="F125" s="16"/>
      <x:c r="G125" s="10"/>
    </x:row>
    <x:row r="126">
      <x:c r="D126" s="16"/>
      <x:c r="E126" s="16"/>
      <x:c r="F126" s="16"/>
      <x:c r="G126" s="10"/>
    </x:row>
    <x:row r="127">
      <x:c r="D127" s="16"/>
      <x:c r="E127" s="16"/>
      <x:c r="F127" s="16"/>
      <x:c r="G127" s="10"/>
    </x:row>
    <x:row r="128">
      <x:c r="D128" s="16"/>
      <x:c r="E128" s="16"/>
      <x:c r="F128" s="16"/>
      <x:c r="G128" s="10"/>
    </x:row>
    <x:row r="129">
      <x:c r="D129" s="16"/>
      <x:c r="E129" s="16"/>
      <x:c r="F129" s="16"/>
      <x:c r="G129" s="10"/>
    </x:row>
    <x:row r="130">
      <x:c r="D130" s="16"/>
      <x:c r="E130" s="16"/>
      <x:c r="F130" s="16"/>
      <x:c r="G130" s="10"/>
    </x:row>
    <x:row r="131">
      <x:c r="D131" s="16"/>
      <x:c r="E131" s="16"/>
      <x:c r="F131" s="16"/>
      <x:c r="G131" s="10"/>
    </x:row>
    <x:row r="132">
      <x:c r="D132" s="16"/>
      <x:c r="E132" s="16"/>
      <x:c r="F132" s="16"/>
      <x:c r="G132" s="10"/>
    </x:row>
    <x:row r="133">
      <x:c r="D133" s="16"/>
      <x:c r="E133" s="16"/>
      <x:c r="F133" s="16"/>
      <x:c r="G133" s="10"/>
    </x:row>
    <x:row r="134">
      <x:c r="D134" s="16"/>
      <x:c r="E134" s="16"/>
      <x:c r="F134" s="16"/>
      <x:c r="G134" s="10"/>
    </x:row>
    <x:row r="135">
      <x:c r="D135" s="16"/>
      <x:c r="E135" s="16"/>
      <x:c r="F135" s="16"/>
      <x:c r="G135" s="10"/>
    </x:row>
    <x:row r="136">
      <x:c r="D136" s="16"/>
      <x:c r="E136" s="16"/>
      <x:c r="F136" s="16"/>
      <x:c r="G136" s="10"/>
    </x:row>
    <x:row r="137">
      <x:c r="D137" s="16"/>
      <x:c r="E137" s="16"/>
      <x:c r="F137" s="16"/>
      <x:c r="G137" s="10"/>
    </x:row>
    <x:row r="138">
      <x:c r="D138" s="16"/>
      <x:c r="E138" s="16"/>
      <x:c r="F138" s="16"/>
      <x:c r="G138" s="10"/>
    </x:row>
    <x:row r="139">
      <x:c r="D139" s="16"/>
      <x:c r="E139" s="16"/>
      <x:c r="F139" s="16"/>
      <x:c r="G139" s="10"/>
    </x:row>
    <x:row r="140">
      <x:c r="D140" s="16"/>
      <x:c r="E140" s="16"/>
      <x:c r="F140" s="16"/>
      <x:c r="G140" s="10"/>
    </x:row>
    <x:row r="141">
      <x:c r="D141" s="16"/>
      <x:c r="E141" s="16"/>
      <x:c r="F141" s="16"/>
      <x:c r="G141" s="10"/>
    </x:row>
    <x:row r="142">
      <x:c r="D142" s="16"/>
      <x:c r="E142" s="16"/>
      <x:c r="F142" s="16"/>
      <x:c r="G142" s="10"/>
    </x:row>
    <x:row r="143">
      <x:c r="D143" s="16"/>
      <x:c r="E143" s="16"/>
      <x:c r="F143" s="16"/>
      <x:c r="G143" s="10"/>
    </x:row>
    <x:row r="144">
      <x:c r="D144" s="16"/>
      <x:c r="E144" s="16"/>
      <x:c r="F144" s="16"/>
      <x:c r="G144" s="10"/>
    </x:row>
    <x:row r="145">
      <x:c r="D145" s="16"/>
      <x:c r="E145" s="16"/>
      <x:c r="F145" s="16"/>
      <x:c r="G145" s="10"/>
    </x:row>
    <x:row r="146">
      <x:c r="D146" s="16"/>
      <x:c r="E146" s="16"/>
      <x:c r="F146" s="16"/>
      <x:c r="G146" s="10"/>
    </x:row>
    <x:row r="147">
      <x:c r="D147" s="16"/>
      <x:c r="E147" s="16"/>
      <x:c r="F147" s="16"/>
      <x:c r="G147" s="10"/>
    </x:row>
    <x:row r="148">
      <x:c r="D148" s="16"/>
      <x:c r="E148" s="16"/>
      <x:c r="F148" s="16"/>
      <x:c r="G148" s="10"/>
    </x:row>
    <x:row r="149">
      <x:c r="D149" s="16"/>
      <x:c r="E149" s="16"/>
      <x:c r="F149" s="16"/>
      <x:c r="G149" s="10"/>
    </x:row>
    <x:row r="150">
      <x:c r="D150" s="16"/>
      <x:c r="E150" s="16"/>
      <x:c r="F150" s="16"/>
      <x:c r="G150" s="10"/>
    </x:row>
    <x:row r="151">
      <x:c r="D151" s="16"/>
      <x:c r="E151" s="16"/>
      <x:c r="F151" s="16"/>
      <x:c r="G151" s="10"/>
    </x:row>
    <x:row r="152">
      <x:c r="D152" s="16"/>
      <x:c r="E152" s="16"/>
      <x:c r="F152" s="16"/>
      <x:c r="G152" s="10"/>
    </x:row>
    <x:row r="153">
      <x:c r="D153" s="16"/>
      <x:c r="E153" s="16"/>
      <x:c r="F153" s="16"/>
      <x:c r="G153" s="10"/>
    </x:row>
    <x:row r="154">
      <x:c r="D154" s="16"/>
      <x:c r="E154" s="16"/>
      <x:c r="F154" s="16"/>
      <x:c r="G154" s="10"/>
    </x:row>
    <x:row r="155">
      <x:c r="D155" s="16"/>
      <x:c r="E155" s="16"/>
      <x:c r="F155" s="16"/>
      <x:c r="G155" s="10"/>
    </x:row>
    <x:row r="156">
      <x:c r="D156" s="16"/>
      <x:c r="E156" s="16"/>
      <x:c r="F156" s="16"/>
      <x:c r="G156" s="10"/>
    </x:row>
    <x:row r="157">
      <x:c r="D157" s="16"/>
      <x:c r="E157" s="16"/>
      <x:c r="F157" s="16"/>
      <x:c r="G157" s="10"/>
    </x:row>
    <x:row r="158">
      <x:c r="D158" s="16"/>
      <x:c r="E158" s="16"/>
      <x:c r="F158" s="16"/>
      <x:c r="G158" s="10"/>
    </x:row>
    <x:row r="159">
      <x:c r="D159" s="16"/>
      <x:c r="E159" s="16"/>
      <x:c r="F159" s="16"/>
      <x:c r="G159" s="10"/>
    </x:row>
    <x:row r="160">
      <x:c r="D160" s="16"/>
      <x:c r="E160" s="16"/>
      <x:c r="F160" s="16"/>
      <x:c r="G160" s="10"/>
    </x:row>
    <x:row r="161">
      <x:c r="D161" s="16"/>
      <x:c r="E161" s="16"/>
      <x:c r="F161" s="16"/>
      <x:c r="G161" s="10"/>
    </x:row>
    <x:row r="162">
      <x:c r="D162" s="16"/>
      <x:c r="E162" s="16"/>
      <x:c r="F162" s="16"/>
      <x:c r="G162" s="10"/>
    </x:row>
    <x:row r="163">
      <x:c r="D163" s="16"/>
      <x:c r="E163" s="16"/>
      <x:c r="F163" s="16"/>
      <x:c r="G163" s="10"/>
    </x:row>
    <x:row r="164">
      <x:c r="D164" s="16"/>
      <x:c r="E164" s="16"/>
      <x:c r="F164" s="16"/>
      <x:c r="G164" s="10"/>
    </x:row>
    <x:row r="165">
      <x:c r="D165" s="16"/>
      <x:c r="E165" s="16"/>
      <x:c r="F165" s="16"/>
      <x:c r="G165" s="10"/>
    </x:row>
    <x:row r="166">
      <x:c r="D166" s="16"/>
      <x:c r="E166" s="16"/>
      <x:c r="F166" s="16"/>
      <x:c r="G166" s="10"/>
    </x:row>
    <x:row r="167">
      <x:c r="D167" s="16"/>
      <x:c r="E167" s="16"/>
      <x:c r="F167" s="16"/>
      <x:c r="G167" s="10"/>
    </x:row>
    <x:row r="168">
      <x:c r="D168" s="16"/>
      <x:c r="E168" s="16"/>
      <x:c r="F168" s="16"/>
      <x:c r="G168" s="10"/>
    </x:row>
    <x:row r="169">
      <x:c r="D169" s="16"/>
      <x:c r="E169" s="16"/>
      <x:c r="F169" s="16"/>
      <x:c r="G169" s="10"/>
    </x:row>
    <x:row r="170">
      <x:c r="D170" s="16"/>
      <x:c r="E170" s="16"/>
      <x:c r="F170" s="16"/>
      <x:c r="G170" s="10"/>
    </x:row>
    <x:row r="171">
      <x:c r="D171" s="16"/>
      <x:c r="E171" s="16"/>
      <x:c r="F171" s="16"/>
      <x:c r="G171" s="10"/>
    </x:row>
    <x:row r="172">
      <x:c r="D172" s="16"/>
      <x:c r="E172" s="16"/>
      <x:c r="F172" s="16"/>
      <x:c r="G172" s="10"/>
    </x:row>
    <x:row r="173">
      <x:c r="D173" s="16"/>
      <x:c r="E173" s="16"/>
      <x:c r="F173" s="16"/>
      <x:c r="G173" s="10"/>
    </x:row>
    <x:row r="174">
      <x:c r="D174" s="16"/>
      <x:c r="E174" s="16"/>
      <x:c r="F174" s="16"/>
      <x:c r="G174" s="10"/>
    </x:row>
    <x:row r="175">
      <x:c r="D175" s="16"/>
      <x:c r="E175" s="16"/>
      <x:c r="F175" s="16"/>
      <x:c r="G175" s="10"/>
    </x:row>
    <x:row r="176">
      <x:c r="D176" s="16"/>
      <x:c r="E176" s="16"/>
      <x:c r="F176" s="16"/>
      <x:c r="G176" s="10"/>
    </x:row>
    <x:row r="177">
      <x:c r="D177" s="16"/>
      <x:c r="E177" s="16"/>
      <x:c r="F177" s="16"/>
      <x:c r="G177" s="10"/>
    </x:row>
    <x:row r="178">
      <x:c r="D178" s="16"/>
      <x:c r="E178" s="16"/>
      <x:c r="F178" s="16"/>
      <x:c r="G178" s="10"/>
    </x:row>
    <x:row r="179">
      <x:c r="D179" s="16"/>
      <x:c r="E179" s="16"/>
      <x:c r="F179" s="16"/>
      <x:c r="G179" s="10"/>
    </x:row>
    <x:row r="180">
      <x:c r="D180" s="16"/>
      <x:c r="E180" s="16"/>
      <x:c r="F180" s="16"/>
      <x:c r="G180" s="10"/>
    </x:row>
    <x:row r="181">
      <x:c r="D181" s="16"/>
      <x:c r="E181" s="16"/>
      <x:c r="F181" s="16"/>
      <x:c r="G181" s="10"/>
    </x:row>
    <x:row r="182">
      <x:c r="D182" s="16"/>
      <x:c r="E182" s="16"/>
      <x:c r="F182" s="16"/>
      <x:c r="G182" s="10"/>
    </x:row>
    <x:row r="183">
      <x:c r="D183" s="16"/>
      <x:c r="E183" s="16"/>
      <x:c r="F183" s="16"/>
      <x:c r="G183" s="10"/>
    </x:row>
    <x:row r="184">
      <x:c r="D184" s="16"/>
      <x:c r="E184" s="16"/>
      <x:c r="F184" s="16"/>
      <x:c r="G184" s="10"/>
    </x:row>
    <x:row r="185">
      <x:c r="D185" s="16"/>
      <x:c r="E185" s="16"/>
      <x:c r="F185" s="16"/>
      <x:c r="G185" s="10"/>
    </x:row>
    <x:row r="186">
      <x:c r="D186" s="16"/>
      <x:c r="E186" s="16"/>
      <x:c r="F186" s="16"/>
      <x:c r="G186" s="10"/>
    </x:row>
    <x:row r="187">
      <x:c r="D187" s="16"/>
      <x:c r="E187" s="16"/>
      <x:c r="F187" s="16"/>
      <x:c r="G187" s="10"/>
    </x:row>
    <x:row r="188">
      <x:c r="D188" s="16"/>
      <x:c r="E188" s="16"/>
      <x:c r="F188" s="16"/>
      <x:c r="G188" s="10"/>
    </x:row>
    <x:row r="189">
      <x:c r="D189" s="16"/>
      <x:c r="E189" s="16"/>
      <x:c r="F189" s="16"/>
      <x:c r="G189" s="10"/>
    </x:row>
    <x:row r="190">
      <x:c r="D190" s="16"/>
      <x:c r="E190" s="16"/>
      <x:c r="F190" s="16"/>
      <x:c r="G190" s="10"/>
    </x:row>
    <x:row r="191">
      <x:c r="D191" s="16"/>
      <x:c r="E191" s="16"/>
      <x:c r="F191" s="16"/>
      <x:c r="G191" s="10"/>
    </x:row>
    <x:row r="192">
      <x:c r="D192" s="16"/>
      <x:c r="E192" s="16"/>
      <x:c r="F192" s="16"/>
      <x:c r="G192" s="10"/>
    </x:row>
    <x:row r="193">
      <x:c r="D193" s="16"/>
      <x:c r="E193" s="16"/>
      <x:c r="F193" s="16"/>
      <x:c r="G193" s="10"/>
    </x:row>
    <x:row r="194">
      <x:c r="D194" s="16"/>
      <x:c r="E194" s="16"/>
      <x:c r="F194" s="16"/>
      <x:c r="G194" s="10"/>
    </x:row>
    <x:row r="195">
      <x:c r="D195" s="16"/>
      <x:c r="E195" s="16"/>
      <x:c r="F195" s="16"/>
      <x:c r="G195" s="10"/>
    </x:row>
    <x:row r="196">
      <x:c r="D196" s="16"/>
      <x:c r="E196" s="16"/>
      <x:c r="F196" s="16"/>
      <x:c r="G196" s="10"/>
    </x:row>
    <x:row r="197">
      <x:c r="D197" s="16"/>
      <x:c r="E197" s="16"/>
      <x:c r="F197" s="16"/>
      <x:c r="G197" s="10"/>
    </x:row>
    <x:row r="198">
      <x:c r="D198" s="16"/>
      <x:c r="E198" s="16"/>
      <x:c r="F198" s="16"/>
      <x:c r="G198" s="10"/>
    </x:row>
    <x:row r="199">
      <x:c r="D199" s="16"/>
      <x:c r="E199" s="16"/>
      <x:c r="F199" s="16"/>
      <x:c r="G199" s="10"/>
    </x:row>
    <x:row r="200">
      <x:c r="D200" s="16"/>
      <x:c r="E200" s="16"/>
      <x:c r="F200" s="16"/>
      <x:c r="G200" s="10"/>
    </x:row>
  </x:sheetData>
  <x:conditionalFormatting sqref="F2:F200">
    <x:cfRule type="cellIs" dxfId="0" priority="1" operator="greaterThan">
      <x:formula>0</x:formula>
    </x:cfRule>
  </x:conditionalFormatting>
  <x:dataValidations count="2">
    <x:dataValidation type="list" sqref="H2:H200">
      <x:formula1>"Paid,Partial,Unpaid,Overdue"</x:formula1>
    </x:dataValidation>
    <x:dataValidation type="list" sqref="I2:I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692fa95fe849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4" hidden="0" customWidth="1"/>
    <x:col min="4" max="4" width="14" hidden="0" customWidth="1"/>
    <x:col min="5" max="5" width="20" hidden="0" customWidth="1"/>
    <x:col min="6" max="6" width="13" hidden="0" customWidth="1"/>
    <x:col min="7" max="7" width="28" hidden="0" customWidth="1"/>
    <x:col min="8" max="8" width="30" hidden="0" customWidth="1"/>
    <x:col min="9" max="9" width="18" hidden="0" customWidth="1"/>
    <x:col min="10" max="10" width="15" hidden="0" customWidth="1"/>
    <x:col min="11" max="11" width="28" hidden="0" customWidth="1"/>
  </x:cols>
  <x:sheetData>
    <x:row r="1" ht="28" customHeight="1">
      <x:c r="A1" s="5" t="str">
        <x:v>reimbursement_id</x:v>
      </x:c>
      <x:c r="B1" s="5" t="str">
        <x:v>member_id</x:v>
      </x:c>
      <x:c r="C1" s="5" t="str">
        <x:v>request_date</x:v>
      </x:c>
      <x:c r="D1" s="5" t="str">
        <x:v>amount</x:v>
      </x:c>
      <x:c r="E1" s="5" t="str">
        <x:v>budget_category</x:v>
      </x:c>
      <x:c r="F1" s="5" t="str">
        <x:v>event_id</x:v>
      </x:c>
      <x:c r="G1" s="5" t="str">
        <x:v>receipt_link</x:v>
      </x:c>
      <x:c r="H1" s="5" t="str">
        <x:v>description</x:v>
      </x:c>
      <x:c r="I1" s="5" t="str">
        <x:v>approval_status</x:v>
      </x:c>
      <x:c r="J1" s="5" t="str">
        <x:v>paid_status</x:v>
      </x:c>
      <x:c r="K1" s="5" t="str">
        <x:v>notes</x:v>
      </x:c>
    </x:row>
    <x:row r="2">
      <x:c r="A2" s="6" t="str">
        <x:v>R001</x:v>
      </x:c>
      <x:c r="B2" s="6" t="str">
        <x:v>M008</x:v>
      </x:c>
      <x:c r="C2" s="8" t="n">
        <x:v>46191</x:v>
      </x:c>
      <x:c r="D2" s="14" t="n">
        <x:v>84.25</x:v>
      </x:c>
      <x:c r="E2" s="6" t="str">
        <x:v>Service</x:v>
      </x:c>
      <x:c r="F2" s="6" t="str">
        <x:v>E002</x:v>
      </x:c>
      <x:c r="G2" s="6" t="str">
        <x:v>https://example.org/receipt-1</x:v>
      </x:c>
      <x:c r="H2" s="6" t="str">
        <x:v>Project supplies</x:v>
      </x:c>
      <x:c r="I2" s="6" t="str">
        <x:v>Approved</x:v>
      </x:c>
      <x:c r="J2" s="6" t="str">
        <x:v>Paid</x:v>
      </x:c>
      <x:c r="K2" s="6" t="str"/>
    </x:row>
    <x:row r="3">
      <x:c r="A3" s="6" t="str">
        <x:v>R002</x:v>
      </x:c>
      <x:c r="B3" s="6" t="str">
        <x:v>M003</x:v>
      </x:c>
      <x:c r="C3" s="8" t="n">
        <x:v>46198</x:v>
      </x:c>
      <x:c r="D3" s="14" t="n">
        <x:v>32.1</x:v>
      </x:c>
      <x:c r="E3" s="6" t="str">
        <x:v>Operations</x:v>
      </x:c>
      <x:c r="F3" s="6" t="str">
        <x:v>E003</x:v>
      </x:c>
      <x:c r="G3" s="6" t="str">
        <x:v>https://example.org/receipt-2</x:v>
      </x:c>
      <x:c r="H3" s="6" t="str">
        <x:v>Workshop materials</x:v>
      </x:c>
      <x:c r="I3" s="6" t="str">
        <x:v>Pending</x:v>
      </x:c>
      <x:c r="J3" s="6" t="str">
        <x:v>Unpaid</x:v>
      </x:c>
      <x:c r="K3" s="6" t="str"/>
    </x:row>
    <x:row r="4">
      <x:c r="A4" s="7" t="str">
        <x:v>R003</x:v>
      </x:c>
      <x:c r="B4" s="7" t="str">
        <x:v>M005</x:v>
      </x:c>
      <x:c r="C4" s="9" t="n">
        <x:v>46201</x:v>
      </x:c>
      <x:c r="D4" s="15" t="n">
        <x:v>61.75</x:v>
      </x:c>
      <x:c r="E4" s="7" t="str">
        <x:v>Member Events</x:v>
      </x:c>
      <x:c r="F4" s="7" t="str">
        <x:v>E004</x:v>
      </x:c>
      <x:c r="G4" s="7" t="str">
        <x:v>https://example.org/receipt-3</x:v>
      </x:c>
      <x:c r="H4" s="7" t="str">
        <x:v>Event refreshments</x:v>
      </x:c>
      <x:c r="I4" s="7" t="str">
        <x:v>Approved</x:v>
      </x:c>
      <x:c r="J4" s="7" t="str">
        <x:v>Unpaid</x:v>
      </x:c>
      <x:c r="K4" s="7" t="str"/>
    </x:row>
    <x:row r="5">
      <x:c r="C5" s="10"/>
      <x:c r="D5" s="16"/>
    </x:row>
    <x:row r="6">
      <x:c r="C6" s="10"/>
      <x:c r="D6" s="16"/>
    </x:row>
    <x:row r="7">
      <x:c r="C7" s="10"/>
      <x:c r="D7" s="16"/>
    </x:row>
    <x:row r="8">
      <x:c r="C8" s="10"/>
      <x:c r="D8" s="16"/>
    </x:row>
    <x:row r="9">
      <x:c r="C9" s="10"/>
      <x:c r="D9" s="16"/>
    </x:row>
    <x:row r="10">
      <x:c r="C10" s="10"/>
      <x:c r="D10" s="16"/>
    </x:row>
    <x:row r="11">
      <x:c r="C11" s="10"/>
      <x:c r="D11" s="16"/>
    </x:row>
    <x:row r="12">
      <x:c r="C12" s="10"/>
      <x:c r="D12" s="16"/>
    </x:row>
    <x:row r="13">
      <x:c r="C13" s="10"/>
      <x:c r="D13" s="16"/>
    </x:row>
    <x:row r="14">
      <x:c r="C14" s="10"/>
      <x:c r="D14" s="16"/>
    </x:row>
    <x:row r="15">
      <x:c r="C15" s="10"/>
      <x:c r="D15" s="16"/>
    </x:row>
    <x:row r="16">
      <x:c r="C16" s="10"/>
      <x:c r="D16" s="16"/>
    </x:row>
    <x:row r="17">
      <x:c r="C17" s="10"/>
      <x:c r="D17" s="16"/>
    </x:row>
    <x:row r="18">
      <x:c r="C18" s="10"/>
      <x:c r="D18" s="16"/>
    </x:row>
    <x:row r="19">
      <x:c r="C19" s="10"/>
      <x:c r="D19" s="16"/>
    </x:row>
    <x:row r="20">
      <x:c r="C20" s="10"/>
      <x:c r="D20" s="16"/>
    </x:row>
    <x:row r="21">
      <x:c r="C21" s="10"/>
      <x:c r="D21" s="16"/>
    </x:row>
    <x:row r="22">
      <x:c r="C22" s="10"/>
      <x:c r="D22" s="16"/>
    </x:row>
    <x:row r="23">
      <x:c r="C23" s="10"/>
      <x:c r="D23" s="16"/>
    </x:row>
    <x:row r="24">
      <x:c r="C24" s="10"/>
      <x:c r="D24" s="16"/>
    </x:row>
    <x:row r="25">
      <x:c r="C25" s="10"/>
      <x:c r="D25" s="16"/>
    </x:row>
    <x:row r="26">
      <x:c r="C26" s="10"/>
      <x:c r="D26" s="16"/>
    </x:row>
    <x:row r="27">
      <x:c r="C27" s="10"/>
      <x:c r="D27" s="16"/>
    </x:row>
    <x:row r="28">
      <x:c r="C28" s="10"/>
      <x:c r="D28" s="16"/>
    </x:row>
    <x:row r="29">
      <x:c r="C29" s="10"/>
      <x:c r="D29" s="16"/>
    </x:row>
    <x:row r="30">
      <x:c r="C30" s="10"/>
      <x:c r="D30" s="16"/>
    </x:row>
    <x:row r="31">
      <x:c r="C31" s="10"/>
      <x:c r="D31" s="16"/>
    </x:row>
    <x:row r="32">
      <x:c r="C32" s="10"/>
      <x:c r="D32" s="16"/>
    </x:row>
    <x:row r="33">
      <x:c r="C33" s="10"/>
      <x:c r="D33" s="16"/>
    </x:row>
    <x:row r="34">
      <x:c r="C34" s="10"/>
      <x:c r="D34" s="16"/>
    </x:row>
    <x:row r="35">
      <x:c r="C35" s="10"/>
      <x:c r="D35" s="16"/>
    </x:row>
    <x:row r="36">
      <x:c r="C36" s="10"/>
      <x:c r="D36" s="16"/>
    </x:row>
    <x:row r="37">
      <x:c r="C37" s="10"/>
      <x:c r="D37" s="16"/>
    </x:row>
    <x:row r="38">
      <x:c r="C38" s="10"/>
      <x:c r="D38" s="16"/>
    </x:row>
    <x:row r="39">
      <x:c r="C39" s="10"/>
      <x:c r="D39" s="16"/>
    </x:row>
    <x:row r="40">
      <x:c r="C40" s="10"/>
      <x:c r="D40" s="16"/>
    </x:row>
    <x:row r="41">
      <x:c r="C41" s="10"/>
      <x:c r="D41" s="16"/>
    </x:row>
    <x:row r="42">
      <x:c r="C42" s="10"/>
      <x:c r="D42" s="16"/>
    </x:row>
    <x:row r="43">
      <x:c r="C43" s="10"/>
      <x:c r="D43" s="16"/>
    </x:row>
    <x:row r="44">
      <x:c r="C44" s="10"/>
      <x:c r="D44" s="16"/>
    </x:row>
    <x:row r="45">
      <x:c r="C45" s="10"/>
      <x:c r="D45" s="16"/>
    </x:row>
    <x:row r="46">
      <x:c r="C46" s="10"/>
      <x:c r="D46" s="16"/>
    </x:row>
    <x:row r="47">
      <x:c r="C47" s="10"/>
      <x:c r="D47" s="16"/>
    </x:row>
    <x:row r="48">
      <x:c r="C48" s="10"/>
      <x:c r="D48" s="16"/>
    </x:row>
    <x:row r="49">
      <x:c r="C49" s="10"/>
      <x:c r="D49" s="16"/>
    </x:row>
    <x:row r="50">
      <x:c r="C50" s="10"/>
      <x:c r="D50" s="16"/>
    </x:row>
    <x:row r="51">
      <x:c r="C51" s="10"/>
      <x:c r="D51" s="16"/>
    </x:row>
    <x:row r="52">
      <x:c r="C52" s="10"/>
      <x:c r="D52" s="16"/>
    </x:row>
    <x:row r="53">
      <x:c r="C53" s="10"/>
      <x:c r="D53" s="16"/>
    </x:row>
    <x:row r="54">
      <x:c r="C54" s="10"/>
      <x:c r="D54" s="16"/>
    </x:row>
    <x:row r="55">
      <x:c r="C55" s="10"/>
      <x:c r="D55" s="16"/>
    </x:row>
    <x:row r="56">
      <x:c r="C56" s="10"/>
      <x:c r="D56" s="16"/>
    </x:row>
    <x:row r="57">
      <x:c r="C57" s="10"/>
      <x:c r="D57" s="16"/>
    </x:row>
    <x:row r="58">
      <x:c r="C58" s="10"/>
      <x:c r="D58" s="16"/>
    </x:row>
    <x:row r="59">
      <x:c r="C59" s="10"/>
      <x:c r="D59" s="16"/>
    </x:row>
    <x:row r="60">
      <x:c r="C60" s="10"/>
      <x:c r="D60" s="16"/>
    </x:row>
    <x:row r="61">
      <x:c r="C61" s="10"/>
      <x:c r="D61" s="16"/>
    </x:row>
    <x:row r="62">
      <x:c r="C62" s="10"/>
      <x:c r="D62" s="16"/>
    </x:row>
    <x:row r="63">
      <x:c r="C63" s="10"/>
      <x:c r="D63" s="16"/>
    </x:row>
    <x:row r="64">
      <x:c r="C64" s="10"/>
      <x:c r="D64" s="16"/>
    </x:row>
    <x:row r="65">
      <x:c r="C65" s="10"/>
      <x:c r="D65" s="16"/>
    </x:row>
    <x:row r="66">
      <x:c r="C66" s="10"/>
      <x:c r="D66" s="16"/>
    </x:row>
    <x:row r="67">
      <x:c r="C67" s="10"/>
      <x:c r="D67" s="16"/>
    </x:row>
    <x:row r="68">
      <x:c r="C68" s="10"/>
      <x:c r="D68" s="16"/>
    </x:row>
    <x:row r="69">
      <x:c r="C69" s="10"/>
      <x:c r="D69" s="16"/>
    </x:row>
    <x:row r="70">
      <x:c r="C70" s="10"/>
      <x:c r="D70" s="16"/>
    </x:row>
    <x:row r="71">
      <x:c r="C71" s="10"/>
      <x:c r="D71" s="16"/>
    </x:row>
    <x:row r="72">
      <x:c r="C72" s="10"/>
      <x:c r="D72" s="16"/>
    </x:row>
    <x:row r="73">
      <x:c r="C73" s="10"/>
      <x:c r="D73" s="16"/>
    </x:row>
    <x:row r="74">
      <x:c r="C74" s="10"/>
      <x:c r="D74" s="16"/>
    </x:row>
    <x:row r="75">
      <x:c r="C75" s="10"/>
      <x:c r="D75" s="16"/>
    </x:row>
    <x:row r="76">
      <x:c r="C76" s="10"/>
      <x:c r="D76" s="16"/>
    </x:row>
    <x:row r="77">
      <x:c r="C77" s="10"/>
      <x:c r="D77" s="16"/>
    </x:row>
    <x:row r="78">
      <x:c r="C78" s="10"/>
      <x:c r="D78" s="16"/>
    </x:row>
    <x:row r="79">
      <x:c r="C79" s="10"/>
      <x:c r="D79" s="16"/>
    </x:row>
    <x:row r="80">
      <x:c r="C80" s="10"/>
      <x:c r="D80" s="16"/>
    </x:row>
    <x:row r="81">
      <x:c r="C81" s="10"/>
      <x:c r="D81" s="16"/>
    </x:row>
    <x:row r="82">
      <x:c r="C82" s="10"/>
      <x:c r="D82" s="16"/>
    </x:row>
    <x:row r="83">
      <x:c r="C83" s="10"/>
      <x:c r="D83" s="16"/>
    </x:row>
    <x:row r="84">
      <x:c r="C84" s="10"/>
      <x:c r="D84" s="16"/>
    </x:row>
    <x:row r="85">
      <x:c r="C85" s="10"/>
      <x:c r="D85" s="16"/>
    </x:row>
    <x:row r="86">
      <x:c r="C86" s="10"/>
      <x:c r="D86" s="16"/>
    </x:row>
    <x:row r="87">
      <x:c r="C87" s="10"/>
      <x:c r="D87" s="16"/>
    </x:row>
    <x:row r="88">
      <x:c r="C88" s="10"/>
      <x:c r="D88" s="16"/>
    </x:row>
    <x:row r="89">
      <x:c r="C89" s="10"/>
      <x:c r="D89" s="16"/>
    </x:row>
    <x:row r="90">
      <x:c r="C90" s="10"/>
      <x:c r="D90" s="16"/>
    </x:row>
    <x:row r="91">
      <x:c r="C91" s="10"/>
      <x:c r="D91" s="16"/>
    </x:row>
    <x:row r="92">
      <x:c r="C92" s="10"/>
      <x:c r="D92" s="16"/>
    </x:row>
    <x:row r="93">
      <x:c r="C93" s="10"/>
      <x:c r="D93" s="16"/>
    </x:row>
    <x:row r="94">
      <x:c r="C94" s="10"/>
      <x:c r="D94" s="16"/>
    </x:row>
    <x:row r="95">
      <x:c r="C95" s="10"/>
      <x:c r="D95" s="16"/>
    </x:row>
    <x:row r="96">
      <x:c r="C96" s="10"/>
      <x:c r="D96" s="16"/>
    </x:row>
    <x:row r="97">
      <x:c r="C97" s="10"/>
      <x:c r="D97" s="16"/>
    </x:row>
    <x:row r="98">
      <x:c r="C98" s="10"/>
      <x:c r="D98" s="16"/>
    </x:row>
    <x:row r="99">
      <x:c r="C99" s="10"/>
      <x:c r="D99" s="16"/>
    </x:row>
    <x:row r="100">
      <x:c r="C100" s="10"/>
      <x:c r="D100" s="16"/>
    </x:row>
    <x:row r="101">
      <x:c r="C101" s="10"/>
      <x:c r="D101" s="16"/>
    </x:row>
    <x:row r="102">
      <x:c r="C102" s="10"/>
      <x:c r="D102" s="16"/>
    </x:row>
    <x:row r="103">
      <x:c r="C103" s="10"/>
      <x:c r="D103" s="16"/>
    </x:row>
    <x:row r="104">
      <x:c r="C104" s="10"/>
      <x:c r="D104" s="16"/>
    </x:row>
    <x:row r="105">
      <x:c r="C105" s="10"/>
      <x:c r="D105" s="16"/>
    </x:row>
    <x:row r="106">
      <x:c r="C106" s="10"/>
      <x:c r="D106" s="16"/>
    </x:row>
    <x:row r="107">
      <x:c r="C107" s="10"/>
      <x:c r="D107" s="16"/>
    </x:row>
    <x:row r="108">
      <x:c r="C108" s="10"/>
      <x:c r="D108" s="16"/>
    </x:row>
    <x:row r="109">
      <x:c r="C109" s="10"/>
      <x:c r="D109" s="16"/>
    </x:row>
    <x:row r="110">
      <x:c r="C110" s="10"/>
      <x:c r="D110" s="16"/>
    </x:row>
    <x:row r="111">
      <x:c r="C111" s="10"/>
      <x:c r="D111" s="16"/>
    </x:row>
    <x:row r="112">
      <x:c r="C112" s="10"/>
      <x:c r="D112" s="16"/>
    </x:row>
    <x:row r="113">
      <x:c r="C113" s="10"/>
      <x:c r="D113" s="16"/>
    </x:row>
    <x:row r="114">
      <x:c r="C114" s="10"/>
      <x:c r="D114" s="16"/>
    </x:row>
    <x:row r="115">
      <x:c r="C115" s="10"/>
      <x:c r="D115" s="16"/>
    </x:row>
    <x:row r="116">
      <x:c r="C116" s="10"/>
      <x:c r="D116" s="16"/>
    </x:row>
    <x:row r="117">
      <x:c r="C117" s="10"/>
      <x:c r="D117" s="16"/>
    </x:row>
    <x:row r="118">
      <x:c r="C118" s="10"/>
      <x:c r="D118" s="16"/>
    </x:row>
    <x:row r="119">
      <x:c r="C119" s="10"/>
      <x:c r="D119" s="16"/>
    </x:row>
    <x:row r="120">
      <x:c r="C120" s="10"/>
      <x:c r="D120" s="16"/>
    </x:row>
    <x:row r="121">
      <x:c r="C121" s="10"/>
      <x:c r="D121" s="16"/>
    </x:row>
    <x:row r="122">
      <x:c r="C122" s="10"/>
      <x:c r="D122" s="16"/>
    </x:row>
    <x:row r="123">
      <x:c r="C123" s="10"/>
      <x:c r="D123" s="16"/>
    </x:row>
    <x:row r="124">
      <x:c r="C124" s="10"/>
      <x:c r="D124" s="16"/>
    </x:row>
    <x:row r="125">
      <x:c r="C125" s="10"/>
      <x:c r="D125" s="16"/>
    </x:row>
    <x:row r="126">
      <x:c r="C126" s="10"/>
      <x:c r="D126" s="16"/>
    </x:row>
    <x:row r="127">
      <x:c r="C127" s="10"/>
      <x:c r="D127" s="16"/>
    </x:row>
    <x:row r="128">
      <x:c r="C128" s="10"/>
      <x:c r="D128" s="16"/>
    </x:row>
    <x:row r="129">
      <x:c r="C129" s="10"/>
      <x:c r="D129" s="16"/>
    </x:row>
    <x:row r="130">
      <x:c r="C130" s="10"/>
      <x:c r="D130" s="16"/>
    </x:row>
    <x:row r="131">
      <x:c r="C131" s="10"/>
      <x:c r="D131" s="16"/>
    </x:row>
    <x:row r="132">
      <x:c r="C132" s="10"/>
      <x:c r="D132" s="16"/>
    </x:row>
    <x:row r="133">
      <x:c r="C133" s="10"/>
      <x:c r="D133" s="16"/>
    </x:row>
    <x:row r="134">
      <x:c r="C134" s="10"/>
      <x:c r="D134" s="16"/>
    </x:row>
    <x:row r="135">
      <x:c r="C135" s="10"/>
      <x:c r="D135" s="16"/>
    </x:row>
    <x:row r="136">
      <x:c r="C136" s="10"/>
      <x:c r="D136" s="16"/>
    </x:row>
    <x:row r="137">
      <x:c r="C137" s="10"/>
      <x:c r="D137" s="16"/>
    </x:row>
    <x:row r="138">
      <x:c r="C138" s="10"/>
      <x:c r="D138" s="16"/>
    </x:row>
    <x:row r="139">
      <x:c r="C139" s="10"/>
      <x:c r="D139" s="16"/>
    </x:row>
    <x:row r="140">
      <x:c r="C140" s="10"/>
      <x:c r="D140" s="16"/>
    </x:row>
    <x:row r="141">
      <x:c r="C141" s="10"/>
      <x:c r="D141" s="16"/>
    </x:row>
    <x:row r="142">
      <x:c r="C142" s="10"/>
      <x:c r="D142" s="16"/>
    </x:row>
    <x:row r="143">
      <x:c r="C143" s="10"/>
      <x:c r="D143" s="16"/>
    </x:row>
    <x:row r="144">
      <x:c r="C144" s="10"/>
      <x:c r="D144" s="16"/>
    </x:row>
    <x:row r="145">
      <x:c r="C145" s="10"/>
      <x:c r="D145" s="16"/>
    </x:row>
    <x:row r="146">
      <x:c r="C146" s="10"/>
      <x:c r="D146" s="16"/>
    </x:row>
    <x:row r="147">
      <x:c r="C147" s="10"/>
      <x:c r="D147" s="16"/>
    </x:row>
    <x:row r="148">
      <x:c r="C148" s="10"/>
      <x:c r="D148" s="16"/>
    </x:row>
    <x:row r="149">
      <x:c r="C149" s="10"/>
      <x:c r="D149" s="16"/>
    </x:row>
    <x:row r="150">
      <x:c r="C150" s="10"/>
      <x:c r="D150" s="16"/>
    </x:row>
    <x:row r="151">
      <x:c r="C151" s="10"/>
      <x:c r="D151" s="16"/>
    </x:row>
    <x:row r="152">
      <x:c r="C152" s="10"/>
      <x:c r="D152" s="16"/>
    </x:row>
    <x:row r="153">
      <x:c r="C153" s="10"/>
      <x:c r="D153" s="16"/>
    </x:row>
    <x:row r="154">
      <x:c r="C154" s="10"/>
      <x:c r="D154" s="16"/>
    </x:row>
    <x:row r="155">
      <x:c r="C155" s="10"/>
      <x:c r="D155" s="16"/>
    </x:row>
    <x:row r="156">
      <x:c r="C156" s="10"/>
      <x:c r="D156" s="16"/>
    </x:row>
    <x:row r="157">
      <x:c r="C157" s="10"/>
      <x:c r="D157" s="16"/>
    </x:row>
    <x:row r="158">
      <x:c r="C158" s="10"/>
      <x:c r="D158" s="16"/>
    </x:row>
    <x:row r="159">
      <x:c r="C159" s="10"/>
      <x:c r="D159" s="16"/>
    </x:row>
    <x:row r="160">
      <x:c r="C160" s="10"/>
      <x:c r="D160" s="16"/>
    </x:row>
    <x:row r="161">
      <x:c r="C161" s="10"/>
      <x:c r="D161" s="16"/>
    </x:row>
    <x:row r="162">
      <x:c r="C162" s="10"/>
      <x:c r="D162" s="16"/>
    </x:row>
    <x:row r="163">
      <x:c r="C163" s="10"/>
      <x:c r="D163" s="16"/>
    </x:row>
    <x:row r="164">
      <x:c r="C164" s="10"/>
      <x:c r="D164" s="16"/>
    </x:row>
    <x:row r="165">
      <x:c r="C165" s="10"/>
      <x:c r="D165" s="16"/>
    </x:row>
    <x:row r="166">
      <x:c r="C166" s="10"/>
      <x:c r="D166" s="16"/>
    </x:row>
    <x:row r="167">
      <x:c r="C167" s="10"/>
      <x:c r="D167" s="16"/>
    </x:row>
    <x:row r="168">
      <x:c r="C168" s="10"/>
      <x:c r="D168" s="16"/>
    </x:row>
    <x:row r="169">
      <x:c r="C169" s="10"/>
      <x:c r="D169" s="16"/>
    </x:row>
    <x:row r="170">
      <x:c r="C170" s="10"/>
      <x:c r="D170" s="16"/>
    </x:row>
    <x:row r="171">
      <x:c r="C171" s="10"/>
      <x:c r="D171" s="16"/>
    </x:row>
    <x:row r="172">
      <x:c r="C172" s="10"/>
      <x:c r="D172" s="16"/>
    </x:row>
    <x:row r="173">
      <x:c r="C173" s="10"/>
      <x:c r="D173" s="16"/>
    </x:row>
    <x:row r="174">
      <x:c r="C174" s="10"/>
      <x:c r="D174" s="16"/>
    </x:row>
    <x:row r="175">
      <x:c r="C175" s="10"/>
      <x:c r="D175" s="16"/>
    </x:row>
    <x:row r="176">
      <x:c r="C176" s="10"/>
      <x:c r="D176" s="16"/>
    </x:row>
    <x:row r="177">
      <x:c r="C177" s="10"/>
      <x:c r="D177" s="16"/>
    </x:row>
    <x:row r="178">
      <x:c r="C178" s="10"/>
      <x:c r="D178" s="16"/>
    </x:row>
    <x:row r="179">
      <x:c r="C179" s="10"/>
      <x:c r="D179" s="16"/>
    </x:row>
    <x:row r="180">
      <x:c r="C180" s="10"/>
      <x:c r="D180" s="16"/>
    </x:row>
    <x:row r="181">
      <x:c r="C181" s="10"/>
      <x:c r="D181" s="16"/>
    </x:row>
    <x:row r="182">
      <x:c r="C182" s="10"/>
      <x:c r="D182" s="16"/>
    </x:row>
    <x:row r="183">
      <x:c r="C183" s="10"/>
      <x:c r="D183" s="16"/>
    </x:row>
    <x:row r="184">
      <x:c r="C184" s="10"/>
      <x:c r="D184" s="16"/>
    </x:row>
    <x:row r="185">
      <x:c r="C185" s="10"/>
      <x:c r="D185" s="16"/>
    </x:row>
    <x:row r="186">
      <x:c r="C186" s="10"/>
      <x:c r="D186" s="16"/>
    </x:row>
    <x:row r="187">
      <x:c r="C187" s="10"/>
      <x:c r="D187" s="16"/>
    </x:row>
    <x:row r="188">
      <x:c r="C188" s="10"/>
      <x:c r="D188" s="16"/>
    </x:row>
    <x:row r="189">
      <x:c r="C189" s="10"/>
      <x:c r="D189" s="16"/>
    </x:row>
    <x:row r="190">
      <x:c r="C190" s="10"/>
      <x:c r="D190" s="16"/>
    </x:row>
    <x:row r="191">
      <x:c r="C191" s="10"/>
      <x:c r="D191" s="16"/>
    </x:row>
    <x:row r="192">
      <x:c r="C192" s="10"/>
      <x:c r="D192" s="16"/>
    </x:row>
    <x:row r="193">
      <x:c r="C193" s="10"/>
      <x:c r="D193" s="16"/>
    </x:row>
    <x:row r="194">
      <x:c r="C194" s="10"/>
      <x:c r="D194" s="16"/>
    </x:row>
    <x:row r="195">
      <x:c r="C195" s="10"/>
      <x:c r="D195" s="16"/>
    </x:row>
    <x:row r="196">
      <x:c r="C196" s="10"/>
      <x:c r="D196" s="16"/>
    </x:row>
    <x:row r="197">
      <x:c r="C197" s="10"/>
      <x:c r="D197" s="16"/>
    </x:row>
    <x:row r="198">
      <x:c r="C198" s="10"/>
      <x:c r="D198" s="16"/>
    </x:row>
    <x:row r="199">
      <x:c r="C199" s="10"/>
      <x:c r="D199" s="16"/>
    </x:row>
    <x:row r="200">
      <x:c r="C200" s="10"/>
      <x:c r="D200" s="16"/>
    </x:row>
  </x:sheetData>
  <x:conditionalFormatting sqref="I2:I200">
    <x:cfRule type="containsText" dxfId="1" priority="1" operator="containsText" text="Pending"/>
  </x:conditionalFormatting>
  <x:dataValidations count="2">
    <x:dataValidation type="list" sqref="I2:I200">
      <x:formula1>"Pending,Approved,Denied"</x:formula1>
    </x:dataValidation>
    <x:dataValidation type="list" sqref="J2:J200">
      <x:formula1>"Paid,Unpaid"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c4d774c74542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0" hidden="0" customWidth="1"/>
    <x:col min="4" max="4" width="18" hidden="0" customWidth="1"/>
    <x:col min="6" max="6" width="31" hidden="0" customWidth="1"/>
  </x:cols>
  <x:sheetData>
    <x:row r="1" ht="40" customHeight="1">
      <x:c r="A1" s="19" t="str">
        <x:v>ChapterOps Lite Dashboard</x:v>
      </x:c>
      <x:c r="B1" s="19"/>
      <x:c r="C1" s="19"/>
      <x:c r="D1" s="19"/>
      <x:c r="E1" s="19"/>
      <x:c r="F1" s="19"/>
    </x:row>
    <x:row r="2">
      <x:c r="A2" s="20" t="str">
        <x:v>Live operating snapshot • Use the ChapterOps menu in Google Sheets to refresh</x:v>
      </x:c>
      <x:c r="B2" s="20"/>
      <x:c r="C2" s="20"/>
      <x:c r="D2" s="20"/>
      <x:c r="E2" s="20"/>
      <x:c r="F2" s="20"/>
    </x:row>
    <x:row r="4">
      <x:c r="A4" s="24" t="str">
        <x:v>Category</x:v>
      </x:c>
      <x:c r="B4" s="24" t="str">
        <x:v>Metric</x:v>
      </x:c>
      <x:c r="C4" s="24" t="str">
        <x:v>Value</x:v>
      </x:c>
      <x:c r="D4" s="24" t="str">
        <x:v>Format</x:v>
      </x:c>
      <x:c r="F4" s="36" t="str">
        <x:v>Formula examples</x:v>
      </x:c>
    </x:row>
    <x:row r="5">
      <x:c r="A5" s="28" t="str">
        <x:v>Membership</x:v>
      </x:c>
      <x:c r="B5" s="28" t="str">
        <x:v>Total active members</x:v>
      </x:c>
      <x:c r="C5" s="31" t="n">
        <x:f>COUNTIF('Members'!$J$2:$J$200,"Active")</x:f>
        <x:v>7</x:v>
      </x:c>
      <x:c r="D5" s="28" t="str">
        <x:v>people</x:v>
      </x:c>
      <x:c r="F5" s="35" t="str">
        <x:v>Active members: COUNTIF</x:v>
      </x:c>
    </x:row>
    <x:row r="6">
      <x:c r="A6" s="28" t="str">
        <x:v>Membership</x:v>
      </x:c>
      <x:c r="B6" s="28" t="str">
        <x:v>Total associate/new members</x:v>
      </x:c>
      <x:c r="C6" s="31" t="n">
        <x:f>COUNTIFS('Members'!$F$2:$F$200,"Associate/New Member",'Members'!$J$2:$J$200,"Active")</x:f>
        <x:v>2</x:v>
      </x:c>
      <x:c r="D6" s="28" t="str">
        <x:v>people</x:v>
      </x:c>
      <x:c r="F6" s="35" t="str">
        <x:v>Associate/new members: COUNTIFS</x:v>
      </x:c>
    </x:row>
    <x:row r="7">
      <x:c r="A7" s="28" t="str">
        <x:v>Attendance</x:v>
      </x:c>
      <x:c r="B7" s="28" t="str">
        <x:v>Attendance rate for required events</x:v>
      </x:c>
      <x:c r="C7" s="32" t="n">
        <x:f>IFERROR((COUNTIFS('Attendance'!$E$2:$E$500,"Present",'Attendance'!$B$2:$B$500,"&lt;&gt;")+COUNTIFS('Attendance'!$E$2:$E$500,"Late",'Attendance'!$B$2:$B$500,"&lt;&gt;"))/COUNTIF('Attendance'!$B$2:$B$500,"&lt;&gt;"),0)</x:f>
        <x:v>0.7619047619047619</x:v>
      </x:c>
      <x:c r="D7" s="28" t="str">
        <x:v>percent</x:v>
      </x:c>
      <x:c r="F7" s="35" t="str">
        <x:v>Attendance: COUNTIFS / total records</x:v>
      </x:c>
    </x:row>
    <x:row r="8">
      <x:c r="A8" s="28" t="str">
        <x:v>Attendance</x:v>
      </x:c>
      <x:c r="B8" s="28" t="str">
        <x:v>Members under attendance threshold</x:v>
      </x:c>
      <x:c r="C8" s="31" t="n">
        <x:f>COUNTIF($C$25:$C$31,"&lt;"&amp;'Settings'!$B$4)</x:f>
        <x:v>4</x:v>
      </x:c>
      <x:c r="D8" s="28" t="str">
        <x:v>people</x:v>
      </x:c>
      <x:c r="F8" s="35" t="str">
        <x:v>Dues: SUM</x:v>
      </x:c>
    </x:row>
    <x:row r="9">
      <x:c r="A9" s="28" t="str">
        <x:v>Finance</x:v>
      </x:c>
      <x:c r="B9" s="28" t="str">
        <x:v>Total dues owed</x:v>
      </x:c>
      <x:c r="C9" s="33" t="n">
        <x:f>SUM('Dues'!$D$2:$D$200)</x:f>
        <x:v>2950</x:v>
      </x:c>
      <x:c r="D9" s="28" t="str">
        <x:v>currency</x:v>
      </x:c>
      <x:c r="F9" s="35" t="str">
        <x:v>Upcoming: COUNTIFS + TODAY</x:v>
      </x:c>
    </x:row>
    <x:row r="10">
      <x:c r="A10" s="28" t="str">
        <x:v>Finance</x:v>
      </x:c>
      <x:c r="B10" s="28" t="str">
        <x:v>Total dues collected</x:v>
      </x:c>
      <x:c r="C10" s="33" t="n">
        <x:f>SUM('Dues'!$E$2:$E$200)</x:f>
        <x:v>1750</x:v>
      </x:c>
      <x:c r="D10" s="28" t="str">
        <x:v>currency</x:v>
      </x:c>
    </x:row>
    <x:row r="11">
      <x:c r="A11" s="28" t="str">
        <x:v>Finance</x:v>
      </x:c>
      <x:c r="B11" s="28" t="str">
        <x:v>Outstanding dues balance</x:v>
      </x:c>
      <x:c r="C11" s="33" t="n">
        <x:f>SUM('Dues'!$F$2:$F$200)</x:f>
        <x:v>1200</x:v>
      </x:c>
      <x:c r="D11" s="28" t="str">
        <x:v>currency</x:v>
      </x:c>
    </x:row>
    <x:row r="12">
      <x:c r="A12" s="28" t="str">
        <x:v>Finance</x:v>
      </x:c>
      <x:c r="B12" s="28" t="str">
        <x:v>Overdue dues count</x:v>
      </x:c>
      <x:c r="C12" s="31" t="n">
        <x:f>COUNTIFS('Dues'!$F$2:$F$200,"&gt;0",'Dues'!$G$2:$G$200,"&lt;"&amp;TODAY())</x:f>
        <x:v>3</x:v>
      </x:c>
      <x:c r="D12" s="28" t="str">
        <x:v>count</x:v>
      </x:c>
    </x:row>
    <x:row r="13">
      <x:c r="A13" s="28" t="str">
        <x:v>Reimbursements</x:v>
      </x:c>
      <x:c r="B13" s="28" t="str">
        <x:v>Pending reimbursements</x:v>
      </x:c>
      <x:c r="C13" s="31" t="n">
        <x:f>COUNTIF('Reimbursements'!$I$2:$I$200,"Pending")</x:f>
        <x:v>1</x:v>
      </x:c>
      <x:c r="D13" s="28" t="str">
        <x:v>count</x:v>
      </x:c>
    </x:row>
    <x:row r="14">
      <x:c r="A14" s="28" t="str">
        <x:v>Reimbursements</x:v>
      </x:c>
      <x:c r="B14" s="28" t="str">
        <x:v>Approved unpaid reimbursements</x:v>
      </x:c>
      <x:c r="C14" s="31" t="n">
        <x:f>COUNTIFS('Reimbursements'!$I$2:$I$200,"Approved",'Reimbursements'!$J$2:$J$200,"Unpaid")</x:f>
        <x:v>1</x:v>
      </x:c>
      <x:c r="D14" s="28" t="str">
        <x:v>count</x:v>
      </x:c>
    </x:row>
    <x:row r="15">
      <x:c r="A15" s="28" t="str">
        <x:v>Events</x:v>
      </x:c>
      <x:c r="B15" s="28" t="str">
        <x:v>Upcoming events this week</x:v>
      </x:c>
      <x:c r="C15" s="31" t="n">
        <x:f>COUNTIFS('Events'!$C$2:$C$200,"&gt;="&amp;TODAY(),'Events'!$C$2:$C$200,"&lt;="&amp;TODAY()+7)</x:f>
        <x:v>2</x:v>
      </x:c>
      <x:c r="D15" s="28" t="str">
        <x:v>count</x:v>
      </x:c>
    </x:row>
    <x:row r="17">
      <x:c r="A17" s="34" t="str">
        <x:v>Members needing attendance follow-up</x:v>
      </x:c>
      <x:c r="B17" s="34"/>
      <x:c r="C17" s="34"/>
      <x:c r="D17" s="34"/>
      <x:c r="E17" s="34"/>
      <x:c r="F17" s="34"/>
    </x:row>
    <x:row r="18">
      <x:c r="A18" s="36" t="str">
        <x:v>member_id</x:v>
      </x:c>
      <x:c r="B18" s="36" t="str">
        <x:v>member_name</x:v>
      </x:c>
      <x:c r="C18" s="36" t="str">
        <x:v>required attendance rate</x:v>
      </x:c>
      <x:c r="D18" s="36" t="str">
        <x:v>follow_up</x:v>
      </x:c>
    </x:row>
    <x:row r="19">
      <x:c r="A19" t="str">
        <x:v>Run “Refresh Dashboard” in Google Sheets to populate this list.</x:v>
      </x:c>
      <x:c r="B19" t="str"/>
      <x:c r="C19" t="str"/>
      <x:c r="D19" t="str"/>
    </x:row>
    <x:row r="24">
      <x:c r="A24" s="36" t="str">
        <x:v>Attendance calculation helper</x:v>
      </x:c>
      <x:c r="B24" s="36" t="str">
        <x:v>Member</x:v>
      </x:c>
      <x:c r="C24" s="36" t="str">
        <x:v>Rate</x:v>
      </x:c>
    </x:row>
    <x:row r="25">
      <x:c r="A25" t="str">
        <x:v>M001</x:v>
      </x:c>
      <x:c r="B25" t="str">
        <x:v>Avery Johnson</x:v>
      </x:c>
      <x:c r="C25" s="23" t="n">
        <x:f>IFERROR((COUNTIFS('Attendance'!$C$2:$C$500,A25,'Attendance'!$E$2:$E$500,"Present")+COUNTIFS('Attendance'!$C$2:$C$500,A25,'Attendance'!$E$2:$E$500,"Late"))/COUNTIF('Attendance'!$C$2:$C$500,A25),0)</x:f>
        <x:v>1</x:v>
      </x:c>
    </x:row>
    <x:row r="26">
      <x:c r="A26" t="str">
        <x:v>M002</x:v>
      </x:c>
      <x:c r="B26" t="str">
        <x:v>Jordan Lee</x:v>
      </x:c>
      <x:c r="C26" s="23" t="n">
        <x:f>IFERROR((COUNTIFS('Attendance'!$C$2:$C$500,A26,'Attendance'!$E$2:$E$500,"Present")+COUNTIFS('Attendance'!$C$2:$C$500,A26,'Attendance'!$E$2:$E$500,"Late"))/COUNTIF('Attendance'!$C$2:$C$500,A26),0)</x:f>
        <x:v>1</x:v>
      </x:c>
    </x:row>
    <x:row r="27">
      <x:c r="A27" t="str">
        <x:v>M003</x:v>
      </x:c>
      <x:c r="B27" t="str">
        <x:v>Cameron Patel</x:v>
      </x:c>
      <x:c r="C27" s="23" t="n">
        <x:f>IFERROR((COUNTIFS('Attendance'!$C$2:$C$500,A27,'Attendance'!$E$2:$E$500,"Present")+COUNTIFS('Attendance'!$C$2:$C$500,A27,'Attendance'!$E$2:$E$500,"Late"))/COUNTIF('Attendance'!$C$2:$C$500,A27),0)</x:f>
        <x:v>0.6666666666666666</x:v>
      </x:c>
    </x:row>
    <x:row r="28">
      <x:c r="A28" t="str">
        <x:v>M004</x:v>
      </x:c>
      <x:c r="B28" t="str">
        <x:v>Taylor Morgan</x:v>
      </x:c>
      <x:c r="C28" s="23" t="n">
        <x:f>IFERROR((COUNTIFS('Attendance'!$C$2:$C$500,A28,'Attendance'!$E$2:$E$500,"Present")+COUNTIFS('Attendance'!$C$2:$C$500,A28,'Attendance'!$E$2:$E$500,"Late"))/COUNTIF('Attendance'!$C$2:$C$500,A28),0)</x:f>
        <x:v>0.6666666666666666</x:v>
      </x:c>
    </x:row>
    <x:row r="29">
      <x:c r="A29" t="str">
        <x:v>M005</x:v>
      </x:c>
      <x:c r="B29" t="str">
        <x:v>Riley Nguyen</x:v>
      </x:c>
      <x:c r="C29" s="23" t="n">
        <x:f>IFERROR((COUNTIFS('Attendance'!$C$2:$C$500,A29,'Attendance'!$E$2:$E$500,"Present")+COUNTIFS('Attendance'!$C$2:$C$500,A29,'Attendance'!$E$2:$E$500,"Late"))/COUNTIF('Attendance'!$C$2:$C$500,A29),0)</x:f>
        <x:v>0.6666666666666666</x:v>
      </x:c>
    </x:row>
    <x:row r="30">
      <x:c r="A30" t="str">
        <x:v>M006</x:v>
      </x:c>
      <x:c r="B30" t="str">
        <x:v>Casey Brown</x:v>
      </x:c>
      <x:c r="C30" s="23" t="n">
        <x:f>IFERROR((COUNTIFS('Attendance'!$C$2:$C$500,A30,'Attendance'!$E$2:$E$500,"Present")+COUNTIFS('Attendance'!$C$2:$C$500,A30,'Attendance'!$E$2:$E$500,"Late"))/COUNTIF('Attendance'!$C$2:$C$500,A30),0)</x:f>
        <x:v>0.3333333333333333</x:v>
      </x:c>
    </x:row>
    <x:row r="31">
      <x:c r="A31" t="str">
        <x:v>M008</x:v>
      </x:c>
      <x:c r="B31" t="str">
        <x:v>Sam Wilson</x:v>
      </x:c>
      <x:c r="C31" s="23" t="n">
        <x:f>IFERROR((COUNTIFS('Attendance'!$C$2:$C$500,A31,'Attendance'!$E$2:$E$500,"Present")+COUNTIFS('Attendance'!$C$2:$C$500,A31,'Attendance'!$E$2:$E$500,"Late"))/COUNTIF('Attendance'!$C$2:$C$500,A31),0)</x:f>
        <x:v>1</x:v>
      </x:c>
    </x:row>
  </x:sheetData>
  <x:mergeCells>
    <x:mergeCell ref="A1:F1"/>
    <x:mergeCell ref="A2:F2"/>
    <x:mergeCell ref="A17:F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8" hidden="0" customWidth="1"/>
  </x:cols>
  <x:sheetData>
    <x:row r="1" ht="28" customHeight="1">
      <x:c r="A1" s="5" t="str">
        <x:v>setting_name</x:v>
      </x:c>
      <x:c r="B1" s="5" t="str">
        <x:v>setting_value</x:v>
      </x:c>
    </x:row>
    <x:row r="2">
      <x:c r="A2" s="6" t="str">
        <x:v>chapter_name</x:v>
      </x:c>
      <x:c r="B2" s="6" t="str">
        <x:v>Demo Chapter / Student Organization</x:v>
      </x:c>
    </x:row>
    <x:row r="3">
      <x:c r="A3" s="6" t="str">
        <x:v>exec_email_list</x:v>
      </x:c>
      <x:c r="B3" s="6" t="str">
        <x:v>president@example.org, treasurer@example.org, secretary@example.org</x:v>
      </x:c>
    </x:row>
    <x:row r="4">
      <x:c r="A4" s="6" t="str">
        <x:v>attendance_threshold</x:v>
      </x:c>
      <x:c r="B4" s="17" t="n">
        <x:v>0.8</x:v>
      </x:c>
    </x:row>
    <x:row r="5">
      <x:c r="A5" s="6" t="str">
        <x:v>report_day</x:v>
      </x:c>
      <x:c r="B5" s="6" t="str">
        <x:v>Monday</x:v>
      </x:c>
    </x:row>
    <x:row r="6">
      <x:c r="A6" s="7" t="str">
        <x:v>report_sender_name</x:v>
      </x:c>
      <x:c r="B6" s="7" t="str">
        <x:v>ChapterOps Lite</x:v>
      </x:c>
    </x:row>
  </x:sheetData>
  <x:pageMargins left="0.7" right="0.7" top="0.75" bottom="0.75" header="0.3" footer="0.3"/>
  <x:tableParts count="1">
    <x:tablePart xmlns:r="http://schemas.openxmlformats.org/officeDocument/2006/relationships" r:id="R9f39f0f4f2c044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</x:cols>
  <x:sheetData>
    <x:row r="1" ht="40" customHeight="1">
      <x:c r="A1" s="19" t="str">
        <x:v>Weekly Executive Report</x:v>
      </x:c>
      <x:c r="B1" s="19"/>
      <x:c r="C1" s="19"/>
      <x:c r="D1" s="19"/>
      <x:c r="E1" s="19"/>
      <x:c r="F1" s="19"/>
    </x:row>
    <x:row r="2">
      <x:c r="A2" s="37" t="str">
        <x:v>Demo Chapter / Student Organization • Week ending 2026-06-30</x:v>
      </x:c>
      <x:c r="B2" s="37"/>
      <x:c r="C2" s="37"/>
      <x:c r="D2" s="37"/>
      <x:c r="E2" s="37"/>
      <x:c r="F2" s="37"/>
    </x:row>
    <x:row r="4">
      <x:c r="A4" s="38" t="str">
        <x:v>ATTENDANCE SUMMARY</x:v>
      </x:c>
      <x:c r="B4" s="38" t="str"/>
      <x:c r="C4" s="38" t="str"/>
      <x:c r="D4" s="38" t="str"/>
      <x:c r="E4" s="38" t="str"/>
      <x:c r="F4" s="38" t="str"/>
    </x:row>
    <x:row r="5">
      <x:c r="A5" s="39" t="str">
        <x:v>Required-event attendance rate</x:v>
      </x:c>
      <x:c r="B5" s="39" t="str">
        <x:v>76.2%</x:v>
      </x:c>
      <x:c r="C5" s="39" t="str"/>
      <x:c r="D5" s="39" t="str"/>
      <x:c r="E5" s="39" t="str"/>
      <x:c r="F5" s="39" t="str"/>
    </x:row>
    <x:row r="6">
      <x:c r="A6" s="39" t="str">
        <x:v>Recorded check-ins / records</x:v>
      </x:c>
      <x:c r="B6" s="39" t="str">
        <x:v>16 / 21</x:v>
      </x:c>
      <x:c r="C6" s="39" t="str"/>
      <x:c r="D6" s="39" t="str"/>
      <x:c r="E6" s="39" t="str"/>
      <x:c r="F6" s="39" t="str"/>
    </x:row>
    <x:row r="7">
      <x:c r="A7" s="38" t="str">
        <x:v>MEMBERS NEEDING FOLLOW-UP</x:v>
      </x:c>
      <x:c r="B7" s="38" t="str"/>
      <x:c r="C7" s="38" t="str"/>
      <x:c r="D7" s="38" t="str"/>
      <x:c r="E7" s="38" t="str"/>
      <x:c r="F7" s="38" t="str"/>
    </x:row>
    <x:row r="8">
      <x:c r="A8" s="39" t="str">
        <x:v>M004</x:v>
      </x:c>
      <x:c r="B8" s="39" t="str">
        <x:v>Taylor Morgan</x:v>
      </x:c>
      <x:c r="C8" s="39" t="str">
        <x:v>66.7%</x:v>
      </x:c>
      <x:c r="D8" s="39" t="str">
        <x:v>Review attendance record</x:v>
      </x:c>
      <x:c r="E8" s="39" t="str"/>
      <x:c r="F8" s="39" t="str"/>
    </x:row>
    <x:row r="9">
      <x:c r="A9" s="39" t="str">
        <x:v>M005</x:v>
      </x:c>
      <x:c r="B9" s="39" t="str">
        <x:v>Riley Nguyen</x:v>
      </x:c>
      <x:c r="C9" s="39" t="str">
        <x:v>66.7%</x:v>
      </x:c>
      <x:c r="D9" s="39" t="str">
        <x:v>Check in about recent absence</x:v>
      </x:c>
      <x:c r="E9" s="39" t="str"/>
      <x:c r="F9" s="39" t="str"/>
    </x:row>
    <x:row r="10">
      <x:c r="A10" s="39" t="str">
        <x:v>M006</x:v>
      </x:c>
      <x:c r="B10" s="39" t="str">
        <x:v>Casey Brown</x:v>
      </x:c>
      <x:c r="C10" s="39" t="str">
        <x:v>33.3%</x:v>
      </x:c>
      <x:c r="D10" s="39" t="str">
        <x:v>Offer support and confirm future availability</x:v>
      </x:c>
      <x:c r="E10" s="39" t="str"/>
      <x:c r="F10" s="39" t="str"/>
    </x:row>
    <x:row r="11">
      <x:c r="A11" s="38" t="str">
        <x:v>DUES COLLECTION SUMMARY</x:v>
      </x:c>
      <x:c r="B11" s="38" t="str"/>
      <x:c r="C11" s="38" t="str"/>
      <x:c r="D11" s="38" t="str"/>
      <x:c r="E11" s="38" t="str"/>
      <x:c r="F11" s="38" t="str"/>
    </x:row>
    <x:row r="12">
      <x:c r="A12" s="39" t="str">
        <x:v>Total owed</x:v>
      </x:c>
      <x:c r="B12" s="39" t="str">
        <x:v>$2,950.00</x:v>
      </x:c>
      <x:c r="C12" s="39" t="str">
        <x:v>Collected</x:v>
      </x:c>
      <x:c r="D12" s="39" t="str">
        <x:v>$1,750.00</x:v>
      </x:c>
      <x:c r="E12" s="39" t="str">
        <x:v>Outstanding</x:v>
      </x:c>
      <x:c r="F12" s="39" t="str">
        <x:v>$1,200.00</x:v>
      </x:c>
    </x:row>
    <x:row r="13">
      <x:c r="A13" s="38" t="str">
        <x:v>OVERDUE BALANCES</x:v>
      </x:c>
      <x:c r="B13" s="38" t="str"/>
      <x:c r="C13" s="38" t="str"/>
      <x:c r="D13" s="38" t="str"/>
      <x:c r="E13" s="38" t="str"/>
      <x:c r="F13" s="38" t="str"/>
    </x:row>
    <x:row r="14">
      <x:c r="A14" s="39" t="str">
        <x:v>M002</x:v>
      </x:c>
      <x:c r="B14" s="39" t="str">
        <x:v>Jordan Lee</x:v>
      </x:c>
      <x:c r="C14" s="39" t="str">
        <x:v>$150.00</x:v>
      </x:c>
      <x:c r="D14" s="39" t="str">
        <x:v>Due 2026-06-15</x:v>
      </x:c>
      <x:c r="E14" s="39" t="str"/>
      <x:c r="F14" s="39" t="str"/>
    </x:row>
    <x:row r="15">
      <x:c r="A15" s="39" t="str">
        <x:v>M003</x:v>
      </x:c>
      <x:c r="B15" s="39" t="str">
        <x:v>Cameron Patel</x:v>
      </x:c>
      <x:c r="C15" s="39" t="str">
        <x:v>$450.00</x:v>
      </x:c>
      <x:c r="D15" s="39" t="str">
        <x:v>Due 2026-06-25</x:v>
      </x:c>
      <x:c r="E15" s="39" t="str"/>
      <x:c r="F15" s="39" t="str"/>
    </x:row>
    <x:row r="16">
      <x:c r="A16" s="39" t="str">
        <x:v>M005</x:v>
      </x:c>
      <x:c r="B16" s="39" t="str">
        <x:v>Riley Nguyen</x:v>
      </x:c>
      <x:c r="C16" s="39" t="str">
        <x:v>$250.00</x:v>
      </x:c>
      <x:c r="D16" s="39" t="str">
        <x:v>Due 2026-06-20</x:v>
      </x:c>
      <x:c r="E16" s="39" t="str"/>
      <x:c r="F16" s="39" t="str"/>
    </x:row>
    <x:row r="17">
      <x:c r="A17" s="38" t="str">
        <x:v>REIMBURSEMENT SUMMARY</x:v>
      </x:c>
      <x:c r="B17" s="38" t="str"/>
      <x:c r="C17" s="38" t="str"/>
      <x:c r="D17" s="38" t="str"/>
      <x:c r="E17" s="38" t="str"/>
      <x:c r="F17" s="38" t="str"/>
    </x:row>
    <x:row r="18">
      <x:c r="A18" s="39" t="str">
        <x:v>Pending requests</x:v>
      </x:c>
      <x:c r="B18" s="39" t="str">
        <x:v>1</x:v>
      </x:c>
      <x:c r="C18" s="39" t="str">
        <x:v>Approved unpaid</x:v>
      </x:c>
      <x:c r="D18" s="39" t="str">
        <x:v>1</x:v>
      </x:c>
      <x:c r="E18" s="39" t="str">
        <x:v>Unpaid total</x:v>
      </x:c>
      <x:c r="F18" s="39" t="str">
        <x:v>$93.85</x:v>
      </x:c>
    </x:row>
    <x:row r="19">
      <x:c r="A19" s="38" t="str">
        <x:v>UPCOMING EVENTS</x:v>
      </x:c>
      <x:c r="B19" s="38" t="str"/>
      <x:c r="C19" s="38" t="str"/>
      <x:c r="D19" s="38" t="str"/>
      <x:c r="E19" s="38" t="str"/>
      <x:c r="F19" s="38" t="str"/>
    </x:row>
    <x:row r="20">
      <x:c r="A20" s="39" t="str">
        <x:v>2026-07-02</x:v>
      </x:c>
      <x:c r="B20" s="39" t="str">
        <x:v>Executive Planning Session</x:v>
      </x:c>
      <x:c r="C20" s="39" t="str">
        <x:v>5:00 PM</x:v>
      </x:c>
      <x:c r="D20" s="39" t="str">
        <x:v>Student Center 110</x:v>
      </x:c>
      <x:c r="E20" s="39" t="str"/>
      <x:c r="F20" s="39" t="str"/>
    </x:row>
    <x:row r="21">
      <x:c r="A21" s="39" t="str">
        <x:v>2026-07-05</x:v>
      </x:c>
      <x:c r="B21" s="39" t="str">
        <x:v>Chapter Operations Meeting</x:v>
      </x:c>
      <x:c r="C21" s="39" t="str">
        <x:v>7:00 PM</x:v>
      </x:c>
      <x:c r="D21" s="39" t="str">
        <x:v>Student Center 201</x:v>
      </x:c>
      <x:c r="E21" s="39" t="str">
        <x:v>Required</x:v>
      </x:c>
      <x:c r="F21" s="39" t="str"/>
    </x:row>
    <x:row r="22">
      <x:c r="A22" s="38" t="str">
        <x:v>ACTION ITEMS</x:v>
      </x:c>
      <x:c r="B22" s="38" t="str"/>
      <x:c r="C22" s="38" t="str"/>
      <x:c r="D22" s="38" t="str"/>
      <x:c r="E22" s="38" t="str"/>
      <x:c r="F22" s="38" t="str"/>
    </x:row>
    <x:row r="23">
      <x:c r="A23" s="39" t="str">
        <x:v>1</x:v>
      </x:c>
      <x:c r="B23" s="39" t="str">
        <x:v>Follow up privately with members below the attendance threshold.</x:v>
      </x:c>
      <x:c r="C23" s="39" t="str"/>
      <x:c r="D23" s="39" t="str"/>
      <x:c r="E23" s="39" t="str"/>
      <x:c r="F23" s="39" t="str"/>
    </x:row>
    <x:row r="24">
      <x:c r="A24" s="39" t="str">
        <x:v>2</x:v>
      </x:c>
      <x:c r="B24" s="39" t="str">
        <x:v>Contact members with overdue balances and document payment plans.</x:v>
      </x:c>
      <x:c r="C24" s="39" t="str"/>
      <x:c r="D24" s="39" t="str"/>
      <x:c r="E24" s="39" t="str"/>
      <x:c r="F24" s="39" t="str"/>
    </x:row>
    <x:row r="25">
      <x:c r="A25" s="39" t="str">
        <x:v>3</x:v>
      </x:c>
      <x:c r="B25" s="39" t="str">
        <x:v>Review pending reimbursement and process approved unpaid request.</x:v>
      </x:c>
      <x:c r="C25" s="39" t="str"/>
      <x:c r="D25" s="39" t="str"/>
      <x:c r="E25" s="39" t="str"/>
      <x:c r="F25" s="39" t="str"/>
    </x:row>
  </x:sheetData>
  <x:mergeCells>
    <x:mergeCell ref="A1:F1"/>
    <x:mergeCell ref="A2:F2"/>
  </x:mergeCells>
  <x:pageMargins left="0.7" right="0.7" top="0.75" bottom="0.75" header="0.3" footer="0.3"/>
</x:worksheet>
</file>